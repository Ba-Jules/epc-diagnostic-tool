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ml.chartshapes+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ml.chartshapes+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ml.chartshapes+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ml.chartshapes+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ml.chartshapes+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ml.chartshapes+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drawings/drawing16.xml" ContentType="application/vnd.openxmlformats-officedocument.drawingml.chartshapes+xml"/>
  <Override PartName="/xl/charts/chart1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backupFile="1" codeName="ThisWorkbook"/>
  <bookViews>
    <workbookView xWindow="360" yWindow="75" windowWidth="8625" windowHeight="9060"/>
  </bookViews>
  <sheets>
    <sheet name="Aperçu" sheetId="3" r:id="rId1"/>
    <sheet name="GRH" sheetId="1" r:id="rId2"/>
    <sheet name="GRF" sheetId="5" r:id="rId3"/>
    <sheet name="PartEq" sheetId="8" r:id="rId4"/>
    <sheet name="Dur" sheetId="10" r:id="rId5"/>
    <sheet name="Partn" sheetId="12" r:id="rId6"/>
    <sheet name="AppOrg" sheetId="15" r:id="rId7"/>
    <sheet name="Gouv" sheetId="20" r:id="rId8"/>
    <sheet name="Grap GRH" sheetId="18" r:id="rId9"/>
    <sheet name="Grap GRF" sheetId="6" r:id="rId10"/>
    <sheet name="Grap PartEq" sheetId="9" r:id="rId11"/>
    <sheet name="Grap Dur" sheetId="11" r:id="rId12"/>
    <sheet name="Grap Partn" sheetId="13" r:id="rId13"/>
    <sheet name="Grap AppOrg" sheetId="17" r:id="rId14"/>
    <sheet name="Grap Gouv" sheetId="21" r:id="rId15"/>
    <sheet name="Feuil1" sheetId="22" r:id="rId16"/>
    <sheet name="Rapport sur la compatibilité" sheetId="23" r:id="rId17"/>
    <sheet name="Rapport sur la compatibilité (1" sheetId="24" r:id="rId18"/>
    <sheet name="Récupéré_Feuil1" sheetId="25" r:id="rId19"/>
    <sheet name="Récupéré_Feuil2" sheetId="26" r:id="rId20"/>
  </sheets>
  <calcPr calcId="145621"/>
</workbook>
</file>

<file path=xl/calcChain.xml><?xml version="1.0" encoding="utf-8"?>
<calcChain xmlns="http://schemas.openxmlformats.org/spreadsheetml/2006/main">
  <c r="H8" i="3" l="1"/>
  <c r="F6" i="3"/>
  <c r="F7" i="3"/>
  <c r="F8" i="3"/>
  <c r="F9" i="3"/>
  <c r="F10" i="3"/>
  <c r="F11" i="3"/>
  <c r="F5" i="3"/>
  <c r="G10" i="3"/>
  <c r="E6" i="3"/>
  <c r="E7" i="3"/>
  <c r="E8" i="3"/>
  <c r="E9" i="3"/>
  <c r="E10" i="3"/>
  <c r="E11" i="3"/>
  <c r="G5" i="3"/>
  <c r="E5" i="3"/>
  <c r="P3" i="20" l="1"/>
  <c r="A4" i="20"/>
  <c r="L4" i="20"/>
  <c r="P4" i="20"/>
  <c r="A5" i="20"/>
  <c r="P5" i="20"/>
  <c r="L6" i="20"/>
  <c r="P6" i="20"/>
  <c r="P7" i="20"/>
  <c r="P8" i="20"/>
  <c r="P9" i="20"/>
  <c r="V12" i="20"/>
  <c r="W12" i="20"/>
  <c r="X12" i="20"/>
  <c r="V13" i="20"/>
  <c r="W13" i="20"/>
  <c r="X13" i="20"/>
  <c r="V14" i="20"/>
  <c r="W14" i="20"/>
  <c r="X14" i="20"/>
  <c r="V15" i="20"/>
  <c r="W15" i="20"/>
  <c r="X15" i="20"/>
  <c r="V16" i="20"/>
  <c r="W16" i="20"/>
  <c r="X16" i="20"/>
  <c r="V17" i="20"/>
  <c r="W17" i="20"/>
  <c r="X17" i="20"/>
  <c r="V18" i="20"/>
  <c r="W18" i="20"/>
  <c r="X18" i="20"/>
  <c r="V19" i="20"/>
  <c r="W19" i="20"/>
  <c r="X19" i="20"/>
  <c r="V20" i="20"/>
  <c r="W20" i="20"/>
  <c r="X20" i="20"/>
  <c r="V21" i="20"/>
  <c r="W21" i="20"/>
  <c r="X21" i="20"/>
  <c r="B28" i="20"/>
  <c r="C28" i="20"/>
  <c r="D28" i="20"/>
  <c r="E28" i="20"/>
  <c r="F28" i="20"/>
  <c r="G28" i="20"/>
  <c r="H28" i="20"/>
  <c r="I28" i="20"/>
  <c r="J28" i="20"/>
  <c r="K28" i="20"/>
  <c r="L28" i="20"/>
  <c r="M28" i="20"/>
  <c r="N28" i="20"/>
  <c r="O28" i="20"/>
  <c r="P28" i="20"/>
  <c r="Q28" i="20"/>
  <c r="R28" i="20"/>
  <c r="S28" i="20"/>
  <c r="T28" i="20"/>
  <c r="U28" i="20"/>
  <c r="V28" i="20"/>
  <c r="B29" i="20"/>
  <c r="C29" i="20"/>
  <c r="D29" i="20"/>
  <c r="E29" i="20"/>
  <c r="F29" i="20"/>
  <c r="G29" i="20"/>
  <c r="H29" i="20"/>
  <c r="I29" i="20"/>
  <c r="J29" i="20"/>
  <c r="K29" i="20"/>
  <c r="L29" i="20"/>
  <c r="M29" i="20"/>
  <c r="N29" i="20"/>
  <c r="O29" i="20"/>
  <c r="P29" i="20"/>
  <c r="Q29" i="20"/>
  <c r="R29" i="20"/>
  <c r="S29" i="20"/>
  <c r="T29" i="20"/>
  <c r="U29" i="20"/>
  <c r="V29" i="20"/>
  <c r="A40" i="20"/>
  <c r="B40" i="20"/>
  <c r="C40" i="20"/>
  <c r="D40" i="20"/>
  <c r="E40" i="20"/>
  <c r="F40" i="20"/>
  <c r="G40" i="20"/>
  <c r="H40" i="20"/>
  <c r="I40" i="20"/>
  <c r="J40" i="20"/>
  <c r="K40" i="20"/>
  <c r="L40" i="20"/>
  <c r="M40" i="20"/>
  <c r="N40" i="20"/>
  <c r="O40" i="20"/>
  <c r="P40" i="20"/>
  <c r="Q40" i="20"/>
  <c r="R40" i="20"/>
  <c r="S40" i="20"/>
  <c r="T40" i="20"/>
  <c r="U40" i="20"/>
  <c r="V40" i="20"/>
  <c r="W40" i="20"/>
  <c r="X40" i="20"/>
  <c r="Y40" i="20"/>
  <c r="Z40" i="20"/>
  <c r="AA40" i="20"/>
  <c r="AB40" i="20"/>
  <c r="A41" i="20"/>
  <c r="B41" i="20"/>
  <c r="C41" i="20"/>
  <c r="D41" i="20"/>
  <c r="E41" i="20"/>
  <c r="F41" i="20"/>
  <c r="G41" i="20"/>
  <c r="H41" i="20"/>
  <c r="I41" i="20"/>
  <c r="J41" i="20"/>
  <c r="K41" i="20"/>
  <c r="L41" i="20"/>
  <c r="M41" i="20"/>
  <c r="N41" i="20"/>
  <c r="O41" i="20"/>
  <c r="P41" i="20"/>
  <c r="Q41" i="20"/>
  <c r="R41" i="20"/>
  <c r="S41" i="20"/>
  <c r="T41" i="20"/>
  <c r="U41" i="20"/>
  <c r="V41" i="20"/>
  <c r="W41" i="20"/>
  <c r="X41" i="20"/>
  <c r="Y41" i="20"/>
  <c r="Z41" i="20"/>
  <c r="AA41" i="20"/>
  <c r="AB41" i="20"/>
  <c r="A42" i="20"/>
  <c r="B42" i="20"/>
  <c r="C42" i="20"/>
  <c r="D42" i="20"/>
  <c r="E42" i="20"/>
  <c r="F42" i="20"/>
  <c r="G42" i="20"/>
  <c r="H42" i="20"/>
  <c r="I42" i="20"/>
  <c r="J42" i="20"/>
  <c r="K42" i="20"/>
  <c r="L42" i="20"/>
  <c r="M42" i="20"/>
  <c r="N42" i="20"/>
  <c r="O42" i="20"/>
  <c r="P42" i="20"/>
  <c r="Q42" i="20"/>
  <c r="R42" i="20"/>
  <c r="S42" i="20"/>
  <c r="T42" i="20"/>
  <c r="U42" i="20"/>
  <c r="V42" i="20"/>
  <c r="W42" i="20"/>
  <c r="X42" i="20"/>
  <c r="Y42" i="20"/>
  <c r="Z42" i="20"/>
  <c r="AA42" i="20"/>
  <c r="AB42" i="20"/>
  <c r="A43" i="20"/>
  <c r="B43" i="20"/>
  <c r="C43" i="20"/>
  <c r="D43" i="20"/>
  <c r="E43" i="20"/>
  <c r="F43" i="20"/>
  <c r="G43" i="20"/>
  <c r="H43" i="20"/>
  <c r="I43" i="20"/>
  <c r="J43" i="20"/>
  <c r="K43" i="20"/>
  <c r="L43" i="20"/>
  <c r="M43" i="20"/>
  <c r="N43" i="20"/>
  <c r="O43" i="20"/>
  <c r="P43" i="20"/>
  <c r="Q43" i="20"/>
  <c r="R43" i="20"/>
  <c r="S43" i="20"/>
  <c r="T43" i="20"/>
  <c r="U43" i="20"/>
  <c r="V43" i="20"/>
  <c r="W43" i="20"/>
  <c r="X43" i="20"/>
  <c r="Y43" i="20"/>
  <c r="Z43" i="20"/>
  <c r="AA43" i="20"/>
  <c r="AB43" i="20"/>
  <c r="A44" i="20"/>
  <c r="B44" i="20"/>
  <c r="C44" i="20"/>
  <c r="D44" i="20"/>
  <c r="E44" i="20"/>
  <c r="F44" i="20"/>
  <c r="G44" i="20"/>
  <c r="H44" i="20"/>
  <c r="I44" i="20"/>
  <c r="J44" i="20"/>
  <c r="K44" i="20"/>
  <c r="L44" i="20"/>
  <c r="M44" i="20"/>
  <c r="N44" i="20"/>
  <c r="O44" i="20"/>
  <c r="P44" i="20"/>
  <c r="Q44" i="20"/>
  <c r="R44" i="20"/>
  <c r="S44" i="20"/>
  <c r="T44" i="20"/>
  <c r="U44" i="20"/>
  <c r="V44" i="20"/>
  <c r="W44" i="20"/>
  <c r="X44" i="20"/>
  <c r="Y44" i="20"/>
  <c r="Z44" i="20"/>
  <c r="AA44" i="20"/>
  <c r="AB44" i="20"/>
  <c r="A45" i="20"/>
  <c r="B45" i="20"/>
  <c r="C45" i="20"/>
  <c r="D45" i="20"/>
  <c r="E45" i="20"/>
  <c r="F45" i="20"/>
  <c r="G45" i="20"/>
  <c r="H45" i="20"/>
  <c r="I45" i="20"/>
  <c r="J45" i="20"/>
  <c r="K45" i="20"/>
  <c r="L45" i="20"/>
  <c r="M45" i="20"/>
  <c r="N45" i="20"/>
  <c r="O45" i="20"/>
  <c r="P45" i="20"/>
  <c r="Q45" i="20"/>
  <c r="R45" i="20"/>
  <c r="S45" i="20"/>
  <c r="T45" i="20"/>
  <c r="U45" i="20"/>
  <c r="V45" i="20"/>
  <c r="W45" i="20"/>
  <c r="X45" i="20"/>
  <c r="Y45" i="20"/>
  <c r="Z45" i="20"/>
  <c r="AA45" i="20"/>
  <c r="AB45" i="20"/>
  <c r="A46" i="20"/>
  <c r="B46" i="20"/>
  <c r="C46" i="20"/>
  <c r="D46" i="20"/>
  <c r="E46" i="20"/>
  <c r="F46" i="20"/>
  <c r="G46" i="20"/>
  <c r="H46" i="20"/>
  <c r="I46" i="20"/>
  <c r="J46" i="20"/>
  <c r="K46" i="20"/>
  <c r="L46" i="20"/>
  <c r="M46" i="20"/>
  <c r="N46" i="20"/>
  <c r="O46" i="20"/>
  <c r="P46" i="20"/>
  <c r="Q46" i="20"/>
  <c r="R46" i="20"/>
  <c r="S46" i="20"/>
  <c r="T46" i="20"/>
  <c r="U46" i="20"/>
  <c r="V46" i="20"/>
  <c r="W46" i="20"/>
  <c r="X46" i="20"/>
  <c r="Y46" i="20"/>
  <c r="Z46" i="20"/>
  <c r="AA46" i="20"/>
  <c r="AB46" i="20"/>
  <c r="A47" i="20"/>
  <c r="B47" i="20"/>
  <c r="C47" i="20"/>
  <c r="D47" i="20"/>
  <c r="E47" i="20"/>
  <c r="F47" i="20"/>
  <c r="G47" i="20"/>
  <c r="H47" i="20"/>
  <c r="I47" i="20"/>
  <c r="J47" i="20"/>
  <c r="K47" i="20"/>
  <c r="L47" i="20"/>
  <c r="M47" i="20"/>
  <c r="N47" i="20"/>
  <c r="O47" i="20"/>
  <c r="P47" i="20"/>
  <c r="Q47" i="20"/>
  <c r="R47" i="20"/>
  <c r="S47" i="20"/>
  <c r="T47" i="20"/>
  <c r="U47" i="20"/>
  <c r="V47" i="20"/>
  <c r="W47" i="20"/>
  <c r="X47" i="20"/>
  <c r="Y47" i="20"/>
  <c r="Z47" i="20"/>
  <c r="AA47" i="20"/>
  <c r="AB47" i="20"/>
  <c r="A48" i="20"/>
  <c r="B48" i="20"/>
  <c r="C48" i="20"/>
  <c r="D48" i="20"/>
  <c r="E48" i="20"/>
  <c r="F48" i="20"/>
  <c r="G48" i="20"/>
  <c r="H48" i="20"/>
  <c r="I48" i="20"/>
  <c r="J48" i="20"/>
  <c r="K48" i="20"/>
  <c r="L48" i="20"/>
  <c r="M48" i="20"/>
  <c r="N48" i="20"/>
  <c r="O48" i="20"/>
  <c r="P48" i="20"/>
  <c r="Q48" i="20"/>
  <c r="R48" i="20"/>
  <c r="S48" i="20"/>
  <c r="T48" i="20"/>
  <c r="U48" i="20"/>
  <c r="V48" i="20"/>
  <c r="W48" i="20"/>
  <c r="X48" i="20"/>
  <c r="Y48" i="20"/>
  <c r="Z48" i="20"/>
  <c r="AA48" i="20"/>
  <c r="AB48" i="20"/>
  <c r="A49" i="20"/>
  <c r="B49" i="20"/>
  <c r="C49" i="20"/>
  <c r="D49" i="20"/>
  <c r="E49" i="20"/>
  <c r="F49" i="20"/>
  <c r="G49" i="20"/>
  <c r="H49" i="20"/>
  <c r="I49" i="20"/>
  <c r="J49" i="20"/>
  <c r="K49" i="20"/>
  <c r="L49" i="20"/>
  <c r="M49" i="20"/>
  <c r="N49" i="20"/>
  <c r="O49" i="20"/>
  <c r="P49" i="20"/>
  <c r="Q49" i="20"/>
  <c r="R49" i="20"/>
  <c r="S49" i="20"/>
  <c r="T49" i="20"/>
  <c r="U49" i="20"/>
  <c r="V49" i="20"/>
  <c r="W49" i="20"/>
  <c r="X49" i="20"/>
  <c r="Y49" i="20"/>
  <c r="Z49" i="20"/>
  <c r="AA49" i="20"/>
  <c r="AB49" i="20"/>
  <c r="P3" i="15"/>
  <c r="A4" i="15"/>
  <c r="L4" i="15"/>
  <c r="P4" i="15"/>
  <c r="A5" i="15"/>
  <c r="P5" i="15"/>
  <c r="L6" i="15"/>
  <c r="P6" i="15"/>
  <c r="P7" i="15"/>
  <c r="P8" i="15"/>
  <c r="P9" i="15"/>
  <c r="V12" i="15"/>
  <c r="W12" i="15"/>
  <c r="X12" i="15"/>
  <c r="V13" i="15"/>
  <c r="W13" i="15"/>
  <c r="X13" i="15"/>
  <c r="V14" i="15"/>
  <c r="W14" i="15"/>
  <c r="X14" i="15"/>
  <c r="V15" i="15"/>
  <c r="W15" i="15"/>
  <c r="X15" i="15"/>
  <c r="V16" i="15"/>
  <c r="W16" i="15"/>
  <c r="X16" i="15"/>
  <c r="V17" i="15"/>
  <c r="W17" i="15"/>
  <c r="X17" i="15"/>
  <c r="V18" i="15"/>
  <c r="W18" i="15"/>
  <c r="X18" i="15"/>
  <c r="V19" i="15"/>
  <c r="W19" i="15"/>
  <c r="X19" i="15"/>
  <c r="V20" i="15"/>
  <c r="W20" i="15"/>
  <c r="X20" i="15"/>
  <c r="V21" i="15"/>
  <c r="W21" i="15"/>
  <c r="X21" i="15"/>
  <c r="B26" i="15"/>
  <c r="C26" i="15"/>
  <c r="D26" i="15"/>
  <c r="E26" i="15"/>
  <c r="F26" i="15"/>
  <c r="G26" i="15"/>
  <c r="H26" i="15"/>
  <c r="I26" i="15"/>
  <c r="J26" i="15"/>
  <c r="K26" i="15"/>
  <c r="L26" i="15"/>
  <c r="M26" i="15"/>
  <c r="N26" i="15"/>
  <c r="O26" i="15"/>
  <c r="P26" i="15"/>
  <c r="Q26" i="15"/>
  <c r="R26" i="15"/>
  <c r="S26" i="15"/>
  <c r="T26" i="15"/>
  <c r="U26" i="15"/>
  <c r="V26" i="15"/>
  <c r="B27" i="15"/>
  <c r="C27" i="15"/>
  <c r="D27" i="15"/>
  <c r="E27" i="15"/>
  <c r="F27" i="15"/>
  <c r="G27" i="15"/>
  <c r="H27" i="15"/>
  <c r="I27" i="15"/>
  <c r="J27" i="15"/>
  <c r="K27" i="15"/>
  <c r="L27" i="15"/>
  <c r="M27" i="15"/>
  <c r="N27" i="15"/>
  <c r="O27" i="15"/>
  <c r="P27" i="15"/>
  <c r="Q27" i="15"/>
  <c r="R27" i="15"/>
  <c r="S27" i="15"/>
  <c r="T27" i="15"/>
  <c r="U27" i="15"/>
  <c r="V27" i="15"/>
  <c r="A40" i="15"/>
  <c r="B40" i="15"/>
  <c r="C40" i="15"/>
  <c r="D40" i="15"/>
  <c r="E40" i="15"/>
  <c r="F40" i="15"/>
  <c r="G40" i="15"/>
  <c r="H40" i="15"/>
  <c r="I40" i="15"/>
  <c r="J40" i="15"/>
  <c r="K40" i="15"/>
  <c r="L40" i="15"/>
  <c r="M40" i="15"/>
  <c r="N40" i="15"/>
  <c r="O40" i="15"/>
  <c r="P40" i="15"/>
  <c r="Q40" i="15"/>
  <c r="R40" i="15"/>
  <c r="S40" i="15"/>
  <c r="T40" i="15"/>
  <c r="U40" i="15"/>
  <c r="V40" i="15"/>
  <c r="W40" i="15"/>
  <c r="X40" i="15"/>
  <c r="Y40" i="15"/>
  <c r="Z40" i="15"/>
  <c r="AA40" i="15"/>
  <c r="AB40" i="15"/>
  <c r="A41" i="15"/>
  <c r="B41" i="15"/>
  <c r="C41" i="15"/>
  <c r="D41" i="15"/>
  <c r="E41" i="15"/>
  <c r="F41" i="15"/>
  <c r="G41" i="15"/>
  <c r="H41" i="15"/>
  <c r="I41" i="15"/>
  <c r="J41" i="15"/>
  <c r="K41" i="15"/>
  <c r="L41" i="15"/>
  <c r="M41" i="15"/>
  <c r="N41" i="15"/>
  <c r="O41" i="15"/>
  <c r="P41" i="15"/>
  <c r="Q41" i="15"/>
  <c r="R41" i="15"/>
  <c r="S41" i="15"/>
  <c r="T41" i="15"/>
  <c r="U41" i="15"/>
  <c r="V41" i="15"/>
  <c r="W41" i="15"/>
  <c r="X41" i="15"/>
  <c r="Y41" i="15"/>
  <c r="Z41" i="15"/>
  <c r="AA41" i="15"/>
  <c r="AB41" i="15"/>
  <c r="A42" i="15"/>
  <c r="B42" i="15"/>
  <c r="C42" i="15"/>
  <c r="D42" i="15"/>
  <c r="E42" i="15"/>
  <c r="F42" i="15"/>
  <c r="G42" i="15"/>
  <c r="H42" i="15"/>
  <c r="I42" i="15"/>
  <c r="J42" i="15"/>
  <c r="K42" i="15"/>
  <c r="L42" i="15"/>
  <c r="M42" i="15"/>
  <c r="N42" i="15"/>
  <c r="O42" i="15"/>
  <c r="P42" i="15"/>
  <c r="Q42" i="15"/>
  <c r="R42" i="15"/>
  <c r="S42" i="15"/>
  <c r="T42" i="15"/>
  <c r="U42" i="15"/>
  <c r="V42" i="15"/>
  <c r="W42" i="15"/>
  <c r="X42" i="15"/>
  <c r="Y42" i="15"/>
  <c r="Z42" i="15"/>
  <c r="AA42" i="15"/>
  <c r="AB42" i="15"/>
  <c r="A43" i="15"/>
  <c r="B43" i="15"/>
  <c r="C43" i="15"/>
  <c r="D43" i="15"/>
  <c r="E43" i="15"/>
  <c r="F43" i="15"/>
  <c r="G43" i="15"/>
  <c r="H43" i="15"/>
  <c r="I43" i="15"/>
  <c r="J43" i="15"/>
  <c r="K43" i="15"/>
  <c r="L43" i="15"/>
  <c r="M43" i="15"/>
  <c r="N43" i="15"/>
  <c r="O43" i="15"/>
  <c r="P43" i="15"/>
  <c r="Q43" i="15"/>
  <c r="R43" i="15"/>
  <c r="S43" i="15"/>
  <c r="T43" i="15"/>
  <c r="U43" i="15"/>
  <c r="V43" i="15"/>
  <c r="W43" i="15"/>
  <c r="X43" i="15"/>
  <c r="Y43" i="15"/>
  <c r="Z43" i="15"/>
  <c r="AA43" i="15"/>
  <c r="AB43" i="15"/>
  <c r="A44" i="15"/>
  <c r="B44" i="15"/>
  <c r="C44" i="15"/>
  <c r="D44" i="15"/>
  <c r="E44" i="15"/>
  <c r="F44" i="15"/>
  <c r="G44" i="15"/>
  <c r="H44" i="15"/>
  <c r="I44" i="15"/>
  <c r="J44" i="15"/>
  <c r="K44" i="15"/>
  <c r="L44" i="15"/>
  <c r="M44" i="15"/>
  <c r="N44" i="15"/>
  <c r="O44" i="15"/>
  <c r="P44" i="15"/>
  <c r="Q44" i="15"/>
  <c r="R44" i="15"/>
  <c r="S44" i="15"/>
  <c r="T44" i="15"/>
  <c r="U44" i="15"/>
  <c r="V44" i="15"/>
  <c r="W44" i="15"/>
  <c r="X44" i="15"/>
  <c r="Y44" i="15"/>
  <c r="Z44" i="15"/>
  <c r="AA44" i="15"/>
  <c r="AB44" i="15"/>
  <c r="A45" i="15"/>
  <c r="B45" i="15"/>
  <c r="C45" i="15"/>
  <c r="D45" i="15"/>
  <c r="E45" i="15"/>
  <c r="F45" i="15"/>
  <c r="G45" i="15"/>
  <c r="H45" i="15"/>
  <c r="I45" i="15"/>
  <c r="J45" i="15"/>
  <c r="K45" i="15"/>
  <c r="L45" i="15"/>
  <c r="M45" i="15"/>
  <c r="N45" i="15"/>
  <c r="O45" i="15"/>
  <c r="P45" i="15"/>
  <c r="Q45" i="15"/>
  <c r="R45" i="15"/>
  <c r="S45" i="15"/>
  <c r="T45" i="15"/>
  <c r="U45" i="15"/>
  <c r="V45" i="15"/>
  <c r="W45" i="15"/>
  <c r="X45" i="15"/>
  <c r="Y45" i="15"/>
  <c r="Z45" i="15"/>
  <c r="AA45" i="15"/>
  <c r="AB45" i="15"/>
  <c r="A46" i="15"/>
  <c r="B46" i="15"/>
  <c r="C46" i="15"/>
  <c r="D46" i="15"/>
  <c r="E46" i="15"/>
  <c r="F46" i="15"/>
  <c r="G46" i="15"/>
  <c r="H46" i="15"/>
  <c r="I46" i="15"/>
  <c r="J46" i="15"/>
  <c r="K46" i="15"/>
  <c r="L46" i="15"/>
  <c r="M46" i="15"/>
  <c r="N46" i="15"/>
  <c r="O46" i="15"/>
  <c r="P46" i="15"/>
  <c r="Q46" i="15"/>
  <c r="R46" i="15"/>
  <c r="S46" i="15"/>
  <c r="T46" i="15"/>
  <c r="U46" i="15"/>
  <c r="V46" i="15"/>
  <c r="W46" i="15"/>
  <c r="X46" i="15"/>
  <c r="Y46" i="15"/>
  <c r="Z46" i="15"/>
  <c r="AA46" i="15"/>
  <c r="AB46" i="15"/>
  <c r="A47" i="15"/>
  <c r="B47" i="15"/>
  <c r="C47" i="15"/>
  <c r="D47" i="15"/>
  <c r="E47" i="15"/>
  <c r="F47" i="15"/>
  <c r="G47" i="15"/>
  <c r="H47" i="15"/>
  <c r="I47" i="15"/>
  <c r="J47" i="15"/>
  <c r="K47" i="15"/>
  <c r="L47" i="15"/>
  <c r="M47" i="15"/>
  <c r="N47" i="15"/>
  <c r="O47" i="15"/>
  <c r="P47" i="15"/>
  <c r="Q47" i="15"/>
  <c r="R47" i="15"/>
  <c r="S47" i="15"/>
  <c r="T47" i="15"/>
  <c r="U47" i="15"/>
  <c r="V47" i="15"/>
  <c r="W47" i="15"/>
  <c r="X47" i="15"/>
  <c r="Y47" i="15"/>
  <c r="Z47" i="15"/>
  <c r="AA47" i="15"/>
  <c r="AB47" i="15"/>
  <c r="A48" i="15"/>
  <c r="B48" i="15"/>
  <c r="C48" i="15"/>
  <c r="D48" i="15"/>
  <c r="E48" i="15"/>
  <c r="F48" i="15"/>
  <c r="G48" i="15"/>
  <c r="H48" i="15"/>
  <c r="I48" i="15"/>
  <c r="J48" i="15"/>
  <c r="K48" i="15"/>
  <c r="L48" i="15"/>
  <c r="M48" i="15"/>
  <c r="N48" i="15"/>
  <c r="O48" i="15"/>
  <c r="P48" i="15"/>
  <c r="Q48" i="15"/>
  <c r="R48" i="15"/>
  <c r="S48" i="15"/>
  <c r="T48" i="15"/>
  <c r="U48" i="15"/>
  <c r="V48" i="15"/>
  <c r="W48" i="15"/>
  <c r="X48" i="15"/>
  <c r="Y48" i="15"/>
  <c r="Z48" i="15"/>
  <c r="AA48" i="15"/>
  <c r="AB48" i="15"/>
  <c r="A49" i="15"/>
  <c r="B49" i="15"/>
  <c r="C49" i="15"/>
  <c r="D49" i="15"/>
  <c r="E49" i="15"/>
  <c r="F49" i="15"/>
  <c r="G49" i="15"/>
  <c r="H49" i="15"/>
  <c r="I49" i="15"/>
  <c r="J49" i="15"/>
  <c r="K49" i="15"/>
  <c r="L49" i="15"/>
  <c r="M49" i="15"/>
  <c r="N49" i="15"/>
  <c r="O49" i="15"/>
  <c r="P49" i="15"/>
  <c r="Q49" i="15"/>
  <c r="R49" i="15"/>
  <c r="S49" i="15"/>
  <c r="T49" i="15"/>
  <c r="U49" i="15"/>
  <c r="V49" i="15"/>
  <c r="W49" i="15"/>
  <c r="X49" i="15"/>
  <c r="Y49" i="15"/>
  <c r="Z49" i="15"/>
  <c r="AA49" i="15"/>
  <c r="AB49" i="15"/>
  <c r="P3" i="12"/>
  <c r="A4" i="12"/>
  <c r="L4" i="12"/>
  <c r="P4" i="12"/>
  <c r="A5" i="12"/>
  <c r="P5" i="12"/>
  <c r="L6" i="12"/>
  <c r="P6" i="12"/>
  <c r="P7" i="12"/>
  <c r="P8" i="12"/>
  <c r="P9" i="12"/>
  <c r="V12" i="12"/>
  <c r="W12" i="12"/>
  <c r="X12" i="12"/>
  <c r="V13" i="12"/>
  <c r="W13" i="12"/>
  <c r="X13" i="12"/>
  <c r="V14" i="12"/>
  <c r="W14" i="12"/>
  <c r="X14" i="12"/>
  <c r="V15" i="12"/>
  <c r="W15" i="12"/>
  <c r="X15" i="12"/>
  <c r="V16" i="12"/>
  <c r="W16" i="12"/>
  <c r="X16" i="12"/>
  <c r="V17" i="12"/>
  <c r="W17" i="12"/>
  <c r="X17" i="12"/>
  <c r="V18" i="12"/>
  <c r="W18" i="12"/>
  <c r="X18" i="12"/>
  <c r="V19" i="12"/>
  <c r="W19" i="12"/>
  <c r="X19" i="12"/>
  <c r="V20" i="12"/>
  <c r="W20" i="12"/>
  <c r="X20" i="12"/>
  <c r="V21" i="12"/>
  <c r="W21" i="12"/>
  <c r="X21" i="12"/>
  <c r="B24" i="12"/>
  <c r="C24" i="12"/>
  <c r="D24" i="12"/>
  <c r="E24" i="12"/>
  <c r="F24" i="12"/>
  <c r="G24" i="12"/>
  <c r="H24" i="12"/>
  <c r="I24" i="12"/>
  <c r="J24" i="12"/>
  <c r="K24" i="12"/>
  <c r="L24" i="12"/>
  <c r="M24" i="12"/>
  <c r="N24" i="12"/>
  <c r="O24" i="12"/>
  <c r="P24" i="12"/>
  <c r="Q24" i="12"/>
  <c r="R24" i="12"/>
  <c r="S24" i="12"/>
  <c r="T24" i="12"/>
  <c r="U24" i="12"/>
  <c r="V24" i="12"/>
  <c r="B25" i="12"/>
  <c r="C25" i="12"/>
  <c r="D25" i="12"/>
  <c r="E25" i="12"/>
  <c r="F25" i="12"/>
  <c r="G25" i="12"/>
  <c r="H25" i="12"/>
  <c r="I25" i="12"/>
  <c r="J25" i="12"/>
  <c r="K25" i="12"/>
  <c r="L25" i="12"/>
  <c r="M25" i="12"/>
  <c r="N25" i="12"/>
  <c r="O25" i="12"/>
  <c r="P25" i="12"/>
  <c r="Q25" i="12"/>
  <c r="R25" i="12"/>
  <c r="S25" i="12"/>
  <c r="T25" i="12"/>
  <c r="U25" i="12"/>
  <c r="V25" i="12"/>
  <c r="A42" i="12"/>
  <c r="B42" i="12"/>
  <c r="C42" i="12"/>
  <c r="D42" i="12"/>
  <c r="E42" i="12"/>
  <c r="F42" i="12"/>
  <c r="G42" i="12"/>
  <c r="H42" i="12"/>
  <c r="I42" i="12"/>
  <c r="J42" i="12"/>
  <c r="K42" i="12"/>
  <c r="L42" i="12"/>
  <c r="M42" i="12"/>
  <c r="N42" i="12"/>
  <c r="O42" i="12"/>
  <c r="P42" i="12"/>
  <c r="Q42" i="12"/>
  <c r="R42" i="12"/>
  <c r="S42" i="12"/>
  <c r="T42" i="12"/>
  <c r="U42" i="12"/>
  <c r="V42" i="12"/>
  <c r="W42" i="12"/>
  <c r="X42" i="12"/>
  <c r="Y42" i="12"/>
  <c r="Z42" i="12"/>
  <c r="AA42" i="12"/>
  <c r="AB42" i="12"/>
  <c r="A43" i="12"/>
  <c r="B43" i="12"/>
  <c r="C43" i="12"/>
  <c r="D43" i="12"/>
  <c r="E43" i="12"/>
  <c r="F43" i="12"/>
  <c r="G43" i="12"/>
  <c r="H43" i="12"/>
  <c r="I43" i="12"/>
  <c r="J43" i="12"/>
  <c r="K43" i="12"/>
  <c r="L43" i="12"/>
  <c r="M43" i="12"/>
  <c r="N43" i="12"/>
  <c r="O43" i="12"/>
  <c r="P43" i="12"/>
  <c r="Q43" i="12"/>
  <c r="R43" i="12"/>
  <c r="S43" i="12"/>
  <c r="T43" i="12"/>
  <c r="U43" i="12"/>
  <c r="V43" i="12"/>
  <c r="W43" i="12"/>
  <c r="X43" i="12"/>
  <c r="Y43" i="12"/>
  <c r="Z43" i="12"/>
  <c r="AA43" i="12"/>
  <c r="AB43" i="12"/>
  <c r="A44" i="12"/>
  <c r="B44" i="12"/>
  <c r="C44" i="12"/>
  <c r="D44" i="12"/>
  <c r="E44" i="12"/>
  <c r="F44" i="12"/>
  <c r="G44" i="12"/>
  <c r="H44" i="12"/>
  <c r="I44" i="12"/>
  <c r="J44" i="12"/>
  <c r="K44" i="12"/>
  <c r="L44" i="12"/>
  <c r="M44" i="12"/>
  <c r="N44" i="12"/>
  <c r="O44" i="12"/>
  <c r="P44" i="12"/>
  <c r="Q44" i="12"/>
  <c r="R44" i="12"/>
  <c r="S44" i="12"/>
  <c r="T44" i="12"/>
  <c r="U44" i="12"/>
  <c r="V44" i="12"/>
  <c r="W44" i="12"/>
  <c r="X44" i="12"/>
  <c r="Y44" i="12"/>
  <c r="Z44" i="12"/>
  <c r="AA44" i="12"/>
  <c r="AB44" i="12"/>
  <c r="A45" i="12"/>
  <c r="B45" i="12"/>
  <c r="C45" i="12"/>
  <c r="D45" i="12"/>
  <c r="E45" i="12"/>
  <c r="F45" i="12"/>
  <c r="G45" i="12"/>
  <c r="H45" i="12"/>
  <c r="I45" i="12"/>
  <c r="J45" i="12"/>
  <c r="K45" i="12"/>
  <c r="L45" i="12"/>
  <c r="M45" i="12"/>
  <c r="N45" i="12"/>
  <c r="O45" i="12"/>
  <c r="P45" i="12"/>
  <c r="Q45" i="12"/>
  <c r="R45" i="12"/>
  <c r="S45" i="12"/>
  <c r="T45" i="12"/>
  <c r="U45" i="12"/>
  <c r="V45" i="12"/>
  <c r="W45" i="12"/>
  <c r="X45" i="12"/>
  <c r="Y45" i="12"/>
  <c r="Z45" i="12"/>
  <c r="AA45" i="12"/>
  <c r="AB45" i="12"/>
  <c r="A46" i="12"/>
  <c r="B46" i="12"/>
  <c r="C46" i="12"/>
  <c r="D46" i="12"/>
  <c r="E46" i="12"/>
  <c r="F46" i="12"/>
  <c r="G46" i="12"/>
  <c r="H46" i="12"/>
  <c r="I46" i="12"/>
  <c r="J46" i="12"/>
  <c r="K46" i="12"/>
  <c r="L46" i="12"/>
  <c r="M46" i="12"/>
  <c r="N46" i="12"/>
  <c r="O46" i="12"/>
  <c r="P46" i="12"/>
  <c r="Q46" i="12"/>
  <c r="R46" i="12"/>
  <c r="S46" i="12"/>
  <c r="T46" i="12"/>
  <c r="U46" i="12"/>
  <c r="V46" i="12"/>
  <c r="W46" i="12"/>
  <c r="X46" i="12"/>
  <c r="Y46" i="12"/>
  <c r="Z46" i="12"/>
  <c r="AA46" i="12"/>
  <c r="AB46" i="12"/>
  <c r="A47" i="12"/>
  <c r="B47" i="12"/>
  <c r="C47" i="12"/>
  <c r="D47" i="12"/>
  <c r="E47" i="12"/>
  <c r="F47" i="12"/>
  <c r="G47" i="12"/>
  <c r="H47" i="12"/>
  <c r="I47" i="12"/>
  <c r="J47" i="12"/>
  <c r="K47" i="12"/>
  <c r="L47" i="12"/>
  <c r="M47" i="12"/>
  <c r="N47" i="12"/>
  <c r="O47" i="12"/>
  <c r="P47" i="12"/>
  <c r="Q47" i="12"/>
  <c r="R47" i="12"/>
  <c r="S47" i="12"/>
  <c r="T47" i="12"/>
  <c r="U47" i="12"/>
  <c r="V47" i="12"/>
  <c r="W47" i="12"/>
  <c r="X47" i="12"/>
  <c r="Y47" i="12"/>
  <c r="Z47" i="12"/>
  <c r="AA47" i="12"/>
  <c r="AB47" i="12"/>
  <c r="A48" i="12"/>
  <c r="B48" i="12"/>
  <c r="C48" i="12"/>
  <c r="D48" i="12"/>
  <c r="E48" i="12"/>
  <c r="F48" i="12"/>
  <c r="G48" i="12"/>
  <c r="H48" i="12"/>
  <c r="I48" i="12"/>
  <c r="J48" i="12"/>
  <c r="K48" i="12"/>
  <c r="L48" i="12"/>
  <c r="M48" i="12"/>
  <c r="N48" i="12"/>
  <c r="O48" i="12"/>
  <c r="P48" i="12"/>
  <c r="Q48" i="12"/>
  <c r="R48" i="12"/>
  <c r="S48" i="12"/>
  <c r="T48" i="12"/>
  <c r="U48" i="12"/>
  <c r="V48" i="12"/>
  <c r="W48" i="12"/>
  <c r="X48" i="12"/>
  <c r="Y48" i="12"/>
  <c r="Z48" i="12"/>
  <c r="AA48" i="12"/>
  <c r="AB48" i="12"/>
  <c r="A49" i="12"/>
  <c r="B49" i="12"/>
  <c r="C49" i="12"/>
  <c r="D49" i="12"/>
  <c r="E49" i="12"/>
  <c r="F49" i="12"/>
  <c r="G49" i="12"/>
  <c r="H49" i="12"/>
  <c r="I49" i="12"/>
  <c r="J49" i="12"/>
  <c r="K49" i="12"/>
  <c r="L49" i="12"/>
  <c r="M49" i="12"/>
  <c r="N49" i="12"/>
  <c r="O49" i="12"/>
  <c r="P49" i="12"/>
  <c r="Q49" i="12"/>
  <c r="R49" i="12"/>
  <c r="S49" i="12"/>
  <c r="T49" i="12"/>
  <c r="U49" i="12"/>
  <c r="V49" i="12"/>
  <c r="W49" i="12"/>
  <c r="X49" i="12"/>
  <c r="Y49" i="12"/>
  <c r="Z49" i="12"/>
  <c r="AA49" i="12"/>
  <c r="AB49" i="12"/>
  <c r="A50" i="12"/>
  <c r="B50" i="12"/>
  <c r="C50" i="12"/>
  <c r="D50" i="12"/>
  <c r="E50" i="12"/>
  <c r="F50" i="12"/>
  <c r="G50" i="12"/>
  <c r="H50" i="12"/>
  <c r="I50" i="12"/>
  <c r="J50" i="12"/>
  <c r="K50" i="12"/>
  <c r="L50" i="12"/>
  <c r="M50" i="12"/>
  <c r="N50" i="12"/>
  <c r="O50" i="12"/>
  <c r="P50" i="12"/>
  <c r="Q50" i="12"/>
  <c r="R50" i="12"/>
  <c r="S50" i="12"/>
  <c r="T50" i="12"/>
  <c r="U50" i="12"/>
  <c r="V50" i="12"/>
  <c r="W50" i="12"/>
  <c r="X50" i="12"/>
  <c r="Y50" i="12"/>
  <c r="Z50" i="12"/>
  <c r="AA50" i="12"/>
  <c r="AB50" i="12"/>
  <c r="A51" i="12"/>
  <c r="B51" i="12"/>
  <c r="C51" i="12"/>
  <c r="D51" i="12"/>
  <c r="E51" i="12"/>
  <c r="F51" i="12"/>
  <c r="G51" i="12"/>
  <c r="H51" i="12"/>
  <c r="I51" i="12"/>
  <c r="J51" i="12"/>
  <c r="K51" i="12"/>
  <c r="L51" i="12"/>
  <c r="M51" i="12"/>
  <c r="N51" i="12"/>
  <c r="O51" i="12"/>
  <c r="P51" i="12"/>
  <c r="Q51" i="12"/>
  <c r="R51" i="12"/>
  <c r="S51" i="12"/>
  <c r="T51" i="12"/>
  <c r="U51" i="12"/>
  <c r="V51" i="12"/>
  <c r="W51" i="12"/>
  <c r="X51" i="12"/>
  <c r="Y51" i="12"/>
  <c r="Z51" i="12"/>
  <c r="AA51" i="12"/>
  <c r="AB51" i="12"/>
  <c r="P3" i="10"/>
  <c r="A4" i="10"/>
  <c r="L4" i="10"/>
  <c r="P4" i="10"/>
  <c r="A5" i="10"/>
  <c r="P5" i="10"/>
  <c r="L6" i="10"/>
  <c r="P6" i="10"/>
  <c r="P7" i="10"/>
  <c r="P8" i="10"/>
  <c r="P9" i="10"/>
  <c r="V12" i="10"/>
  <c r="W12" i="10"/>
  <c r="X12" i="10"/>
  <c r="V13" i="10"/>
  <c r="W13" i="10"/>
  <c r="X13" i="10"/>
  <c r="V14" i="10"/>
  <c r="W14" i="10"/>
  <c r="X14" i="10"/>
  <c r="V15" i="10"/>
  <c r="W15" i="10"/>
  <c r="X15" i="10"/>
  <c r="V16" i="10"/>
  <c r="W16" i="10"/>
  <c r="X16" i="10"/>
  <c r="V17" i="10"/>
  <c r="W17" i="10"/>
  <c r="X17" i="10"/>
  <c r="V18" i="10"/>
  <c r="W18" i="10"/>
  <c r="X18" i="10"/>
  <c r="V19" i="10"/>
  <c r="W19" i="10"/>
  <c r="X19" i="10"/>
  <c r="V20" i="10"/>
  <c r="W20" i="10"/>
  <c r="X20" i="10"/>
  <c r="V21" i="10"/>
  <c r="W21" i="10"/>
  <c r="X21" i="10"/>
  <c r="B28" i="10"/>
  <c r="C28" i="10"/>
  <c r="D28" i="10"/>
  <c r="E28" i="10"/>
  <c r="F28" i="10"/>
  <c r="G28" i="10"/>
  <c r="H28" i="10"/>
  <c r="I28" i="10"/>
  <c r="J28" i="10"/>
  <c r="K28" i="10"/>
  <c r="L28" i="10"/>
  <c r="M28" i="10"/>
  <c r="N28" i="10"/>
  <c r="O28" i="10"/>
  <c r="P28" i="10"/>
  <c r="Q28" i="10"/>
  <c r="R28" i="10"/>
  <c r="S28" i="10"/>
  <c r="T28" i="10"/>
  <c r="U28" i="10"/>
  <c r="V28" i="10"/>
  <c r="B29" i="10"/>
  <c r="C29" i="10"/>
  <c r="D29" i="10"/>
  <c r="E29" i="10"/>
  <c r="F29" i="10"/>
  <c r="G29" i="10"/>
  <c r="H29" i="10"/>
  <c r="I29" i="10"/>
  <c r="J29" i="10"/>
  <c r="K29" i="10"/>
  <c r="L29" i="10"/>
  <c r="M29" i="10"/>
  <c r="N29" i="10"/>
  <c r="O29" i="10"/>
  <c r="P29" i="10"/>
  <c r="Q29" i="10"/>
  <c r="R29" i="10"/>
  <c r="S29" i="10"/>
  <c r="T29" i="10"/>
  <c r="U29" i="10"/>
  <c r="V29" i="10"/>
  <c r="A40" i="10"/>
  <c r="B40" i="10"/>
  <c r="C40" i="10"/>
  <c r="D40" i="10"/>
  <c r="E40" i="10"/>
  <c r="F40" i="10"/>
  <c r="G40" i="10"/>
  <c r="H40" i="10"/>
  <c r="I40" i="10"/>
  <c r="J40" i="10"/>
  <c r="K40" i="10"/>
  <c r="L40" i="10"/>
  <c r="M40" i="10"/>
  <c r="N40" i="10"/>
  <c r="O40" i="10"/>
  <c r="P40" i="10"/>
  <c r="Q40" i="10"/>
  <c r="R40" i="10"/>
  <c r="S40" i="10"/>
  <c r="T40" i="10"/>
  <c r="U40" i="10"/>
  <c r="V40" i="10"/>
  <c r="W40" i="10"/>
  <c r="X40" i="10"/>
  <c r="Y40" i="10"/>
  <c r="Z40" i="10"/>
  <c r="AA40" i="10"/>
  <c r="AB40" i="10"/>
  <c r="A41" i="10"/>
  <c r="B41" i="10"/>
  <c r="C41" i="10"/>
  <c r="D41" i="10"/>
  <c r="E41" i="10"/>
  <c r="F41" i="10"/>
  <c r="G41" i="10"/>
  <c r="H41" i="10"/>
  <c r="I41" i="10"/>
  <c r="J41" i="10"/>
  <c r="K41" i="10"/>
  <c r="L41" i="10"/>
  <c r="M41" i="10"/>
  <c r="N41" i="10"/>
  <c r="O41" i="10"/>
  <c r="P41" i="10"/>
  <c r="Q41" i="10"/>
  <c r="R41" i="10"/>
  <c r="S41" i="10"/>
  <c r="T41" i="10"/>
  <c r="U41" i="10"/>
  <c r="V41" i="10"/>
  <c r="W41" i="10"/>
  <c r="X41" i="10"/>
  <c r="Y41" i="10"/>
  <c r="Z41" i="10"/>
  <c r="AA41" i="10"/>
  <c r="AB41" i="10"/>
  <c r="A42" i="10"/>
  <c r="B42" i="10"/>
  <c r="C42" i="10"/>
  <c r="D42" i="10"/>
  <c r="E42" i="10"/>
  <c r="F42" i="10"/>
  <c r="G42" i="10"/>
  <c r="H42" i="10"/>
  <c r="I42" i="10"/>
  <c r="J42" i="10"/>
  <c r="K42" i="10"/>
  <c r="L42" i="10"/>
  <c r="M42" i="10"/>
  <c r="N42" i="10"/>
  <c r="O42" i="10"/>
  <c r="P42" i="10"/>
  <c r="Q42" i="10"/>
  <c r="R42" i="10"/>
  <c r="S42" i="10"/>
  <c r="T42" i="10"/>
  <c r="U42" i="10"/>
  <c r="V42" i="10"/>
  <c r="W42" i="10"/>
  <c r="X42" i="10"/>
  <c r="Y42" i="10"/>
  <c r="Z42" i="10"/>
  <c r="AA42" i="10"/>
  <c r="AB42" i="10"/>
  <c r="A43" i="10"/>
  <c r="B43" i="10"/>
  <c r="C43" i="10"/>
  <c r="D43" i="10"/>
  <c r="E43" i="10"/>
  <c r="F43" i="10"/>
  <c r="G43" i="10"/>
  <c r="H43" i="10"/>
  <c r="I43" i="10"/>
  <c r="J43" i="10"/>
  <c r="K43" i="10"/>
  <c r="L43" i="10"/>
  <c r="M43" i="10"/>
  <c r="N43" i="10"/>
  <c r="O43" i="10"/>
  <c r="P43" i="10"/>
  <c r="Q43" i="10"/>
  <c r="R43" i="10"/>
  <c r="S43" i="10"/>
  <c r="T43" i="10"/>
  <c r="U43" i="10"/>
  <c r="V43" i="10"/>
  <c r="W43" i="10"/>
  <c r="X43" i="10"/>
  <c r="Y43" i="10"/>
  <c r="Z43" i="10"/>
  <c r="AA43" i="10"/>
  <c r="AB43" i="10"/>
  <c r="A44" i="10"/>
  <c r="B44" i="10"/>
  <c r="C44" i="10"/>
  <c r="D44" i="10"/>
  <c r="E44" i="10"/>
  <c r="F44" i="10"/>
  <c r="G44" i="10"/>
  <c r="H44" i="10"/>
  <c r="I44" i="10"/>
  <c r="J44" i="10"/>
  <c r="K44" i="10"/>
  <c r="L44" i="10"/>
  <c r="M44" i="10"/>
  <c r="N44" i="10"/>
  <c r="O44" i="10"/>
  <c r="P44" i="10"/>
  <c r="Q44" i="10"/>
  <c r="R44" i="10"/>
  <c r="S44" i="10"/>
  <c r="T44" i="10"/>
  <c r="U44" i="10"/>
  <c r="V44" i="10"/>
  <c r="W44" i="10"/>
  <c r="X44" i="10"/>
  <c r="Y44" i="10"/>
  <c r="Z44" i="10"/>
  <c r="AA44" i="10"/>
  <c r="AB44" i="10"/>
  <c r="A45" i="10"/>
  <c r="B45" i="10"/>
  <c r="C45" i="10"/>
  <c r="D45" i="10"/>
  <c r="E45" i="10"/>
  <c r="F45" i="10"/>
  <c r="G45" i="10"/>
  <c r="H45" i="10"/>
  <c r="I45" i="10"/>
  <c r="J45" i="10"/>
  <c r="K45" i="10"/>
  <c r="L45" i="10"/>
  <c r="M45" i="10"/>
  <c r="N45" i="10"/>
  <c r="O45" i="10"/>
  <c r="P45" i="10"/>
  <c r="Q45" i="10"/>
  <c r="R45" i="10"/>
  <c r="S45" i="10"/>
  <c r="T45" i="10"/>
  <c r="U45" i="10"/>
  <c r="V45" i="10"/>
  <c r="W45" i="10"/>
  <c r="X45" i="10"/>
  <c r="Y45" i="10"/>
  <c r="Z45" i="10"/>
  <c r="AA45" i="10"/>
  <c r="AB45" i="10"/>
  <c r="A46" i="10"/>
  <c r="B46" i="10"/>
  <c r="C46" i="10"/>
  <c r="D46" i="10"/>
  <c r="E46" i="10"/>
  <c r="F46" i="10"/>
  <c r="G46" i="10"/>
  <c r="H46" i="10"/>
  <c r="I46" i="10"/>
  <c r="J46" i="10"/>
  <c r="K46" i="10"/>
  <c r="L46" i="10"/>
  <c r="M46" i="10"/>
  <c r="N46" i="10"/>
  <c r="O46" i="10"/>
  <c r="P46" i="10"/>
  <c r="Q46" i="10"/>
  <c r="R46" i="10"/>
  <c r="S46" i="10"/>
  <c r="T46" i="10"/>
  <c r="U46" i="10"/>
  <c r="V46" i="10"/>
  <c r="W46" i="10"/>
  <c r="X46" i="10"/>
  <c r="Y46" i="10"/>
  <c r="Z46" i="10"/>
  <c r="AA46" i="10"/>
  <c r="AB46" i="10"/>
  <c r="A47" i="10"/>
  <c r="B47" i="10"/>
  <c r="C47" i="10"/>
  <c r="D47" i="10"/>
  <c r="E47" i="10"/>
  <c r="F47" i="10"/>
  <c r="G47" i="10"/>
  <c r="H47" i="10"/>
  <c r="I47" i="10"/>
  <c r="J47" i="10"/>
  <c r="K47" i="10"/>
  <c r="L47" i="10"/>
  <c r="M47" i="10"/>
  <c r="N47" i="10"/>
  <c r="O47" i="10"/>
  <c r="P47" i="10"/>
  <c r="Q47" i="10"/>
  <c r="R47" i="10"/>
  <c r="S47" i="10"/>
  <c r="T47" i="10"/>
  <c r="U47" i="10"/>
  <c r="V47" i="10"/>
  <c r="W47" i="10"/>
  <c r="X47" i="10"/>
  <c r="Y47" i="10"/>
  <c r="Z47" i="10"/>
  <c r="AA47" i="10"/>
  <c r="AB47" i="10"/>
  <c r="A48" i="10"/>
  <c r="B48" i="10"/>
  <c r="C48" i="10"/>
  <c r="D48" i="10"/>
  <c r="E48" i="10"/>
  <c r="F48" i="10"/>
  <c r="G48" i="10"/>
  <c r="H48" i="10"/>
  <c r="I48" i="10"/>
  <c r="J48" i="10"/>
  <c r="K48" i="10"/>
  <c r="L48" i="10"/>
  <c r="M48" i="10"/>
  <c r="N48" i="10"/>
  <c r="O48" i="10"/>
  <c r="P48" i="10"/>
  <c r="Q48" i="10"/>
  <c r="R48" i="10"/>
  <c r="S48" i="10"/>
  <c r="T48" i="10"/>
  <c r="U48" i="10"/>
  <c r="V48" i="10"/>
  <c r="W48" i="10"/>
  <c r="X48" i="10"/>
  <c r="Y48" i="10"/>
  <c r="Z48" i="10"/>
  <c r="AA48" i="10"/>
  <c r="AB48" i="10"/>
  <c r="A49" i="10"/>
  <c r="B49" i="10"/>
  <c r="C49" i="10"/>
  <c r="D49" i="10"/>
  <c r="E49" i="10"/>
  <c r="F49" i="10"/>
  <c r="G49" i="10"/>
  <c r="H49" i="10"/>
  <c r="I49" i="10"/>
  <c r="J49" i="10"/>
  <c r="K49" i="10"/>
  <c r="L49" i="10"/>
  <c r="M49" i="10"/>
  <c r="N49" i="10"/>
  <c r="O49" i="10"/>
  <c r="P49" i="10"/>
  <c r="Q49" i="10"/>
  <c r="R49" i="10"/>
  <c r="S49" i="10"/>
  <c r="T49" i="10"/>
  <c r="U49" i="10"/>
  <c r="V49" i="10"/>
  <c r="W49" i="10"/>
  <c r="X49" i="10"/>
  <c r="Y49" i="10"/>
  <c r="Z49" i="10"/>
  <c r="AA49" i="10"/>
  <c r="AB49" i="10"/>
  <c r="P3" i="8"/>
  <c r="A4" i="8"/>
  <c r="L4" i="8"/>
  <c r="P4" i="8"/>
  <c r="A5" i="8"/>
  <c r="P5" i="8"/>
  <c r="L6" i="8"/>
  <c r="P6" i="8"/>
  <c r="P7" i="8"/>
  <c r="P8" i="8"/>
  <c r="P9" i="8"/>
  <c r="V12" i="8"/>
  <c r="W12" i="8"/>
  <c r="X12" i="8"/>
  <c r="V13" i="8"/>
  <c r="W13" i="8"/>
  <c r="X13" i="8"/>
  <c r="V14" i="8"/>
  <c r="W14" i="8"/>
  <c r="X14" i="8"/>
  <c r="V15" i="8"/>
  <c r="W15" i="8"/>
  <c r="X15" i="8"/>
  <c r="V16" i="8"/>
  <c r="W16" i="8"/>
  <c r="X16" i="8"/>
  <c r="V17" i="8"/>
  <c r="W17" i="8"/>
  <c r="X17" i="8"/>
  <c r="V18" i="8"/>
  <c r="W18" i="8"/>
  <c r="X18" i="8"/>
  <c r="V19" i="8"/>
  <c r="W19" i="8"/>
  <c r="X19" i="8"/>
  <c r="V20" i="8"/>
  <c r="W20" i="8"/>
  <c r="X20" i="8"/>
  <c r="V21" i="8"/>
  <c r="W21" i="8"/>
  <c r="X21" i="8"/>
  <c r="B25" i="8"/>
  <c r="C25" i="8"/>
  <c r="D25" i="8"/>
  <c r="E25" i="8"/>
  <c r="F25" i="8"/>
  <c r="G25" i="8"/>
  <c r="H25" i="8"/>
  <c r="I25" i="8"/>
  <c r="J25" i="8"/>
  <c r="K25" i="8"/>
  <c r="L25" i="8"/>
  <c r="M25" i="8"/>
  <c r="N25" i="8"/>
  <c r="O25" i="8"/>
  <c r="P25" i="8"/>
  <c r="Q25" i="8"/>
  <c r="R25" i="8"/>
  <c r="S25" i="8"/>
  <c r="T25" i="8"/>
  <c r="U25" i="8"/>
  <c r="V25" i="8"/>
  <c r="B26" i="8"/>
  <c r="C26" i="8"/>
  <c r="D26" i="8"/>
  <c r="E26" i="8"/>
  <c r="F26" i="8"/>
  <c r="G26" i="8"/>
  <c r="H26" i="8"/>
  <c r="I26" i="8"/>
  <c r="J26" i="8"/>
  <c r="K26" i="8"/>
  <c r="L26" i="8"/>
  <c r="M26" i="8"/>
  <c r="N26" i="8"/>
  <c r="O26" i="8"/>
  <c r="P26" i="8"/>
  <c r="Q26" i="8"/>
  <c r="R26" i="8"/>
  <c r="S26" i="8"/>
  <c r="T26" i="8"/>
  <c r="U26" i="8"/>
  <c r="V26" i="8"/>
  <c r="A42" i="8"/>
  <c r="B42" i="8"/>
  <c r="C42" i="8"/>
  <c r="D42" i="8"/>
  <c r="E42" i="8"/>
  <c r="F42" i="8"/>
  <c r="G42" i="8"/>
  <c r="H42" i="8"/>
  <c r="I42" i="8"/>
  <c r="J42" i="8"/>
  <c r="K42" i="8"/>
  <c r="L42" i="8"/>
  <c r="M42" i="8"/>
  <c r="N42" i="8"/>
  <c r="O42" i="8"/>
  <c r="P42" i="8"/>
  <c r="Q42" i="8"/>
  <c r="R42" i="8"/>
  <c r="S42" i="8"/>
  <c r="T42" i="8"/>
  <c r="U42" i="8"/>
  <c r="V42" i="8"/>
  <c r="W42" i="8"/>
  <c r="X42" i="8"/>
  <c r="Y42" i="8"/>
  <c r="Z42" i="8"/>
  <c r="AA42" i="8"/>
  <c r="AB42" i="8"/>
  <c r="A43" i="8"/>
  <c r="B43" i="8"/>
  <c r="C43" i="8"/>
  <c r="D43" i="8"/>
  <c r="E43" i="8"/>
  <c r="F43" i="8"/>
  <c r="G43" i="8"/>
  <c r="H43" i="8"/>
  <c r="I43" i="8"/>
  <c r="J43" i="8"/>
  <c r="K43" i="8"/>
  <c r="L43" i="8"/>
  <c r="M43" i="8"/>
  <c r="N43" i="8"/>
  <c r="O43" i="8"/>
  <c r="P43" i="8"/>
  <c r="Q43" i="8"/>
  <c r="R43" i="8"/>
  <c r="S43" i="8"/>
  <c r="T43" i="8"/>
  <c r="U43" i="8"/>
  <c r="V43" i="8"/>
  <c r="W43" i="8"/>
  <c r="X43" i="8"/>
  <c r="Y43" i="8"/>
  <c r="Z43" i="8"/>
  <c r="AA43" i="8"/>
  <c r="AB43" i="8"/>
  <c r="A44" i="8"/>
  <c r="B44" i="8"/>
  <c r="C44" i="8"/>
  <c r="D44" i="8"/>
  <c r="E44" i="8"/>
  <c r="F44" i="8"/>
  <c r="G44" i="8"/>
  <c r="H44" i="8"/>
  <c r="I44" i="8"/>
  <c r="J44" i="8"/>
  <c r="K44" i="8"/>
  <c r="L44" i="8"/>
  <c r="M44" i="8"/>
  <c r="N44" i="8"/>
  <c r="O44" i="8"/>
  <c r="P44" i="8"/>
  <c r="Q44" i="8"/>
  <c r="R44" i="8"/>
  <c r="S44" i="8"/>
  <c r="T44" i="8"/>
  <c r="U44" i="8"/>
  <c r="V44" i="8"/>
  <c r="W44" i="8"/>
  <c r="X44" i="8"/>
  <c r="Y44" i="8"/>
  <c r="Z44" i="8"/>
  <c r="AA44" i="8"/>
  <c r="AB44" i="8"/>
  <c r="A45" i="8"/>
  <c r="B45" i="8"/>
  <c r="C45" i="8"/>
  <c r="D45" i="8"/>
  <c r="E45" i="8"/>
  <c r="F45" i="8"/>
  <c r="G45" i="8"/>
  <c r="H45" i="8"/>
  <c r="I45" i="8"/>
  <c r="J45" i="8"/>
  <c r="K45" i="8"/>
  <c r="L45" i="8"/>
  <c r="M45" i="8"/>
  <c r="N45" i="8"/>
  <c r="O45" i="8"/>
  <c r="P45" i="8"/>
  <c r="Q45" i="8"/>
  <c r="R45" i="8"/>
  <c r="S45" i="8"/>
  <c r="T45" i="8"/>
  <c r="U45" i="8"/>
  <c r="V45" i="8"/>
  <c r="W45" i="8"/>
  <c r="X45" i="8"/>
  <c r="Y45" i="8"/>
  <c r="Z45" i="8"/>
  <c r="AA45" i="8"/>
  <c r="AB45" i="8"/>
  <c r="A46" i="8"/>
  <c r="B46" i="8"/>
  <c r="C46" i="8"/>
  <c r="D46" i="8"/>
  <c r="E46" i="8"/>
  <c r="F46" i="8"/>
  <c r="G46" i="8"/>
  <c r="H46" i="8"/>
  <c r="I46" i="8"/>
  <c r="J46" i="8"/>
  <c r="K46" i="8"/>
  <c r="L46" i="8"/>
  <c r="M46" i="8"/>
  <c r="N46" i="8"/>
  <c r="O46" i="8"/>
  <c r="P46" i="8"/>
  <c r="Q46" i="8"/>
  <c r="R46" i="8"/>
  <c r="S46" i="8"/>
  <c r="T46" i="8"/>
  <c r="U46" i="8"/>
  <c r="V46" i="8"/>
  <c r="W46" i="8"/>
  <c r="X46" i="8"/>
  <c r="Y46" i="8"/>
  <c r="Z46" i="8"/>
  <c r="AA46" i="8"/>
  <c r="AB46" i="8"/>
  <c r="A47" i="8"/>
  <c r="B47" i="8"/>
  <c r="C47" i="8"/>
  <c r="D47" i="8"/>
  <c r="E47" i="8"/>
  <c r="F47" i="8"/>
  <c r="G47" i="8"/>
  <c r="H47" i="8"/>
  <c r="I47" i="8"/>
  <c r="J47" i="8"/>
  <c r="K47" i="8"/>
  <c r="L47" i="8"/>
  <c r="M47" i="8"/>
  <c r="N47" i="8"/>
  <c r="O47" i="8"/>
  <c r="P47" i="8"/>
  <c r="Q47" i="8"/>
  <c r="R47" i="8"/>
  <c r="S47" i="8"/>
  <c r="T47" i="8"/>
  <c r="U47" i="8"/>
  <c r="V47" i="8"/>
  <c r="W47" i="8"/>
  <c r="X47" i="8"/>
  <c r="Y47" i="8"/>
  <c r="Z47" i="8"/>
  <c r="AA47" i="8"/>
  <c r="AB47" i="8"/>
  <c r="A48" i="8"/>
  <c r="B48" i="8"/>
  <c r="C48" i="8"/>
  <c r="D48" i="8"/>
  <c r="E48" i="8"/>
  <c r="F48" i="8"/>
  <c r="G48" i="8"/>
  <c r="H48" i="8"/>
  <c r="I48" i="8"/>
  <c r="J48" i="8"/>
  <c r="K48" i="8"/>
  <c r="L48" i="8"/>
  <c r="M48" i="8"/>
  <c r="N48" i="8"/>
  <c r="O48" i="8"/>
  <c r="P48" i="8"/>
  <c r="Q48" i="8"/>
  <c r="R48" i="8"/>
  <c r="S48" i="8"/>
  <c r="T48" i="8"/>
  <c r="U48" i="8"/>
  <c r="V48" i="8"/>
  <c r="W48" i="8"/>
  <c r="X48" i="8"/>
  <c r="Y48" i="8"/>
  <c r="Z48" i="8"/>
  <c r="AA48" i="8"/>
  <c r="AB48" i="8"/>
  <c r="A49" i="8"/>
  <c r="B49" i="8"/>
  <c r="C49" i="8"/>
  <c r="D49" i="8"/>
  <c r="E49" i="8"/>
  <c r="F49" i="8"/>
  <c r="G49" i="8"/>
  <c r="H49" i="8"/>
  <c r="I49" i="8"/>
  <c r="J49" i="8"/>
  <c r="K49" i="8"/>
  <c r="L49" i="8"/>
  <c r="M49" i="8"/>
  <c r="N49" i="8"/>
  <c r="O49" i="8"/>
  <c r="P49" i="8"/>
  <c r="Q49" i="8"/>
  <c r="R49" i="8"/>
  <c r="S49" i="8"/>
  <c r="T49" i="8"/>
  <c r="U49" i="8"/>
  <c r="V49" i="8"/>
  <c r="W49" i="8"/>
  <c r="X49" i="8"/>
  <c r="Y49" i="8"/>
  <c r="Z49" i="8"/>
  <c r="AA49" i="8"/>
  <c r="AB49" i="8"/>
  <c r="A50" i="8"/>
  <c r="B50" i="8"/>
  <c r="C50" i="8"/>
  <c r="D50" i="8"/>
  <c r="E50" i="8"/>
  <c r="F50" i="8"/>
  <c r="G50" i="8"/>
  <c r="H50" i="8"/>
  <c r="I50" i="8"/>
  <c r="J50" i="8"/>
  <c r="K50" i="8"/>
  <c r="L50" i="8"/>
  <c r="M50" i="8"/>
  <c r="N50" i="8"/>
  <c r="O50" i="8"/>
  <c r="P50" i="8"/>
  <c r="Q50" i="8"/>
  <c r="R50" i="8"/>
  <c r="S50" i="8"/>
  <c r="T50" i="8"/>
  <c r="U50" i="8"/>
  <c r="V50" i="8"/>
  <c r="W50" i="8"/>
  <c r="X50" i="8"/>
  <c r="Y50" i="8"/>
  <c r="Z50" i="8"/>
  <c r="AA50" i="8"/>
  <c r="AB50" i="8"/>
  <c r="A51" i="8"/>
  <c r="B51" i="8"/>
  <c r="C51" i="8"/>
  <c r="D51" i="8"/>
  <c r="E51" i="8"/>
  <c r="F51" i="8"/>
  <c r="G51" i="8"/>
  <c r="H51" i="8"/>
  <c r="I51" i="8"/>
  <c r="J51" i="8"/>
  <c r="K51" i="8"/>
  <c r="L51" i="8"/>
  <c r="M51" i="8"/>
  <c r="N51" i="8"/>
  <c r="O51" i="8"/>
  <c r="P51" i="8"/>
  <c r="Q51" i="8"/>
  <c r="R51" i="8"/>
  <c r="S51" i="8"/>
  <c r="T51" i="8"/>
  <c r="U51" i="8"/>
  <c r="V51" i="8"/>
  <c r="W51" i="8"/>
  <c r="X51" i="8"/>
  <c r="Y51" i="8"/>
  <c r="Z51" i="8"/>
  <c r="AA51" i="8"/>
  <c r="AB51" i="8"/>
  <c r="P3" i="5"/>
  <c r="A4" i="5"/>
  <c r="L4" i="5"/>
  <c r="P4" i="5"/>
  <c r="A5" i="5"/>
  <c r="P5" i="5"/>
  <c r="L6" i="5"/>
  <c r="P6" i="5"/>
  <c r="P7" i="5"/>
  <c r="P8" i="5"/>
  <c r="P9" i="5"/>
  <c r="V12" i="5"/>
  <c r="W12" i="5"/>
  <c r="X12" i="5"/>
  <c r="V13" i="5"/>
  <c r="W13" i="5"/>
  <c r="X13" i="5"/>
  <c r="V14" i="5"/>
  <c r="W14" i="5"/>
  <c r="X14" i="5"/>
  <c r="V15" i="5"/>
  <c r="W15" i="5"/>
  <c r="X15" i="5"/>
  <c r="V16" i="5"/>
  <c r="W16" i="5"/>
  <c r="X16" i="5"/>
  <c r="V17" i="5"/>
  <c r="W17" i="5"/>
  <c r="X17" i="5"/>
  <c r="V18" i="5"/>
  <c r="W18" i="5"/>
  <c r="X18" i="5"/>
  <c r="V19" i="5"/>
  <c r="W19" i="5"/>
  <c r="X19" i="5"/>
  <c r="V20" i="5"/>
  <c r="W20" i="5"/>
  <c r="X20" i="5"/>
  <c r="V21" i="5"/>
  <c r="W21" i="5"/>
  <c r="X21" i="5"/>
  <c r="B28" i="5"/>
  <c r="C28" i="5"/>
  <c r="D28" i="5"/>
  <c r="E28" i="5"/>
  <c r="F28" i="5"/>
  <c r="G28" i="5"/>
  <c r="H28" i="5"/>
  <c r="I28" i="5"/>
  <c r="J28" i="5"/>
  <c r="K28" i="5"/>
  <c r="L28" i="5"/>
  <c r="M28" i="5"/>
  <c r="N28" i="5"/>
  <c r="O28" i="5"/>
  <c r="P28" i="5"/>
  <c r="Q28" i="5"/>
  <c r="R28" i="5"/>
  <c r="S28" i="5"/>
  <c r="T28" i="5"/>
  <c r="U28" i="5"/>
  <c r="V28" i="5"/>
  <c r="B29" i="5"/>
  <c r="C29" i="5"/>
  <c r="D29" i="5"/>
  <c r="E29" i="5"/>
  <c r="F29" i="5"/>
  <c r="G29" i="5"/>
  <c r="H29" i="5"/>
  <c r="I29" i="5"/>
  <c r="J29" i="5"/>
  <c r="K29" i="5"/>
  <c r="L29" i="5"/>
  <c r="M29" i="5"/>
  <c r="N29" i="5"/>
  <c r="O29" i="5"/>
  <c r="P29" i="5"/>
  <c r="Q29" i="5"/>
  <c r="R29" i="5"/>
  <c r="S29" i="5"/>
  <c r="T29" i="5"/>
  <c r="U29" i="5"/>
  <c r="V29" i="5"/>
  <c r="A40" i="5"/>
  <c r="B40" i="5"/>
  <c r="C40" i="5"/>
  <c r="D40" i="5"/>
  <c r="E40" i="5"/>
  <c r="F40" i="5"/>
  <c r="G40" i="5"/>
  <c r="H40" i="5"/>
  <c r="I40" i="5"/>
  <c r="J40" i="5"/>
  <c r="K40" i="5"/>
  <c r="L40" i="5"/>
  <c r="M40" i="5"/>
  <c r="N40" i="5"/>
  <c r="O40" i="5"/>
  <c r="P40" i="5"/>
  <c r="Q40" i="5"/>
  <c r="R40" i="5"/>
  <c r="S40" i="5"/>
  <c r="T40" i="5"/>
  <c r="U40" i="5"/>
  <c r="V40" i="5"/>
  <c r="W40" i="5"/>
  <c r="X40" i="5"/>
  <c r="Y40" i="5"/>
  <c r="Z40" i="5"/>
  <c r="AA40" i="5"/>
  <c r="AB40" i="5"/>
  <c r="A41" i="5"/>
  <c r="B41" i="5"/>
  <c r="C41" i="5"/>
  <c r="D41" i="5"/>
  <c r="E41" i="5"/>
  <c r="F41" i="5"/>
  <c r="G41" i="5"/>
  <c r="H41" i="5"/>
  <c r="I41" i="5"/>
  <c r="J41" i="5"/>
  <c r="K41" i="5"/>
  <c r="L41" i="5"/>
  <c r="M41" i="5"/>
  <c r="N41" i="5"/>
  <c r="O41" i="5"/>
  <c r="P41" i="5"/>
  <c r="Q41" i="5"/>
  <c r="R41" i="5"/>
  <c r="S41" i="5"/>
  <c r="T41" i="5"/>
  <c r="U41" i="5"/>
  <c r="V41" i="5"/>
  <c r="W41" i="5"/>
  <c r="X41" i="5"/>
  <c r="Y41" i="5"/>
  <c r="Z41" i="5"/>
  <c r="AA41" i="5"/>
  <c r="AB41" i="5"/>
  <c r="A42" i="5"/>
  <c r="B42" i="5"/>
  <c r="C42" i="5"/>
  <c r="D42" i="5"/>
  <c r="E42" i="5"/>
  <c r="F42" i="5"/>
  <c r="G42" i="5"/>
  <c r="H42" i="5"/>
  <c r="I42" i="5"/>
  <c r="J42" i="5"/>
  <c r="K42" i="5"/>
  <c r="L42" i="5"/>
  <c r="M42" i="5"/>
  <c r="N42" i="5"/>
  <c r="O42" i="5"/>
  <c r="P42" i="5"/>
  <c r="Q42" i="5"/>
  <c r="R42" i="5"/>
  <c r="S42" i="5"/>
  <c r="T42" i="5"/>
  <c r="U42" i="5"/>
  <c r="V42" i="5"/>
  <c r="W42" i="5"/>
  <c r="X42" i="5"/>
  <c r="Y42" i="5"/>
  <c r="Z42" i="5"/>
  <c r="AA42" i="5"/>
  <c r="AB42" i="5"/>
  <c r="A43" i="5"/>
  <c r="B43" i="5"/>
  <c r="C43" i="5"/>
  <c r="D43" i="5"/>
  <c r="E43" i="5"/>
  <c r="F43" i="5"/>
  <c r="G43" i="5"/>
  <c r="H43" i="5"/>
  <c r="I43" i="5"/>
  <c r="J43" i="5"/>
  <c r="K43" i="5"/>
  <c r="L43" i="5"/>
  <c r="M43" i="5"/>
  <c r="N43" i="5"/>
  <c r="O43" i="5"/>
  <c r="P43" i="5"/>
  <c r="Q43" i="5"/>
  <c r="R43" i="5"/>
  <c r="S43" i="5"/>
  <c r="T43" i="5"/>
  <c r="U43" i="5"/>
  <c r="V43" i="5"/>
  <c r="W43" i="5"/>
  <c r="X43" i="5"/>
  <c r="Y43" i="5"/>
  <c r="Z43" i="5"/>
  <c r="AA43" i="5"/>
  <c r="AB43" i="5"/>
  <c r="A44" i="5"/>
  <c r="B44" i="5"/>
  <c r="C44" i="5"/>
  <c r="D44" i="5"/>
  <c r="E44" i="5"/>
  <c r="F44" i="5"/>
  <c r="G44" i="5"/>
  <c r="H44" i="5"/>
  <c r="I44" i="5"/>
  <c r="J44" i="5"/>
  <c r="K44" i="5"/>
  <c r="L44" i="5"/>
  <c r="M44" i="5"/>
  <c r="N44" i="5"/>
  <c r="O44" i="5"/>
  <c r="P44" i="5"/>
  <c r="Q44" i="5"/>
  <c r="R44" i="5"/>
  <c r="S44" i="5"/>
  <c r="T44" i="5"/>
  <c r="U44" i="5"/>
  <c r="V44" i="5"/>
  <c r="W44" i="5"/>
  <c r="X44" i="5"/>
  <c r="Y44" i="5"/>
  <c r="Z44" i="5"/>
  <c r="AA44" i="5"/>
  <c r="AB44" i="5"/>
  <c r="A45" i="5"/>
  <c r="B45" i="5"/>
  <c r="C45" i="5"/>
  <c r="D45" i="5"/>
  <c r="E45" i="5"/>
  <c r="F45" i="5"/>
  <c r="G45" i="5"/>
  <c r="H45" i="5"/>
  <c r="I45" i="5"/>
  <c r="J45" i="5"/>
  <c r="K45" i="5"/>
  <c r="L45" i="5"/>
  <c r="M45" i="5"/>
  <c r="N45" i="5"/>
  <c r="O45" i="5"/>
  <c r="P45" i="5"/>
  <c r="Q45" i="5"/>
  <c r="R45" i="5"/>
  <c r="S45" i="5"/>
  <c r="T45" i="5"/>
  <c r="U45" i="5"/>
  <c r="V45" i="5"/>
  <c r="W45" i="5"/>
  <c r="X45" i="5"/>
  <c r="Y45" i="5"/>
  <c r="Z45" i="5"/>
  <c r="AA45" i="5"/>
  <c r="AB45" i="5"/>
  <c r="A46" i="5"/>
  <c r="B46" i="5"/>
  <c r="C46" i="5"/>
  <c r="D46" i="5"/>
  <c r="E46" i="5"/>
  <c r="F46" i="5"/>
  <c r="G46" i="5"/>
  <c r="H46" i="5"/>
  <c r="I46" i="5"/>
  <c r="J46" i="5"/>
  <c r="K46" i="5"/>
  <c r="L46" i="5"/>
  <c r="M46" i="5"/>
  <c r="N46" i="5"/>
  <c r="O46" i="5"/>
  <c r="P46" i="5"/>
  <c r="Q46" i="5"/>
  <c r="R46" i="5"/>
  <c r="S46" i="5"/>
  <c r="T46" i="5"/>
  <c r="U46" i="5"/>
  <c r="V46" i="5"/>
  <c r="W46" i="5"/>
  <c r="X46" i="5"/>
  <c r="Y46" i="5"/>
  <c r="Z46" i="5"/>
  <c r="AA46" i="5"/>
  <c r="AB46" i="5"/>
  <c r="A47" i="5"/>
  <c r="B47" i="5"/>
  <c r="C47" i="5"/>
  <c r="D47" i="5"/>
  <c r="E47" i="5"/>
  <c r="F47" i="5"/>
  <c r="G47" i="5"/>
  <c r="H47" i="5"/>
  <c r="I47" i="5"/>
  <c r="J47" i="5"/>
  <c r="K47" i="5"/>
  <c r="L47" i="5"/>
  <c r="M47" i="5"/>
  <c r="N47" i="5"/>
  <c r="O47" i="5"/>
  <c r="P47" i="5"/>
  <c r="Q47" i="5"/>
  <c r="R47" i="5"/>
  <c r="S47" i="5"/>
  <c r="T47" i="5"/>
  <c r="U47" i="5"/>
  <c r="V47" i="5"/>
  <c r="W47" i="5"/>
  <c r="X47" i="5"/>
  <c r="Y47" i="5"/>
  <c r="Z47" i="5"/>
  <c r="AA47" i="5"/>
  <c r="AB47" i="5"/>
  <c r="A48" i="5"/>
  <c r="B48" i="5"/>
  <c r="C48" i="5"/>
  <c r="D48" i="5"/>
  <c r="E48" i="5"/>
  <c r="F48" i="5"/>
  <c r="G48" i="5"/>
  <c r="H48" i="5"/>
  <c r="I48" i="5"/>
  <c r="J48" i="5"/>
  <c r="K48" i="5"/>
  <c r="L48" i="5"/>
  <c r="M48" i="5"/>
  <c r="N48" i="5"/>
  <c r="O48" i="5"/>
  <c r="P48" i="5"/>
  <c r="Q48" i="5"/>
  <c r="R48" i="5"/>
  <c r="S48" i="5"/>
  <c r="T48" i="5"/>
  <c r="U48" i="5"/>
  <c r="V48" i="5"/>
  <c r="W48" i="5"/>
  <c r="X48" i="5"/>
  <c r="Y48" i="5"/>
  <c r="Z48" i="5"/>
  <c r="AA48" i="5"/>
  <c r="AB48" i="5"/>
  <c r="A49" i="5"/>
  <c r="B49" i="5"/>
  <c r="C49" i="5"/>
  <c r="D49" i="5"/>
  <c r="E49" i="5"/>
  <c r="F49" i="5"/>
  <c r="G49" i="5"/>
  <c r="H49" i="5"/>
  <c r="I49" i="5"/>
  <c r="J49" i="5"/>
  <c r="K49" i="5"/>
  <c r="L49" i="5"/>
  <c r="M49" i="5"/>
  <c r="N49" i="5"/>
  <c r="O49" i="5"/>
  <c r="P49" i="5"/>
  <c r="Q49" i="5"/>
  <c r="R49" i="5"/>
  <c r="S49" i="5"/>
  <c r="T49" i="5"/>
  <c r="U49" i="5"/>
  <c r="V49" i="5"/>
  <c r="W49" i="5"/>
  <c r="X49" i="5"/>
  <c r="Y49" i="5"/>
  <c r="Z49" i="5"/>
  <c r="AA49" i="5"/>
  <c r="AB49" i="5"/>
  <c r="P3" i="1"/>
  <c r="A4" i="1"/>
  <c r="L4" i="1"/>
  <c r="P4" i="1"/>
  <c r="A5" i="1"/>
  <c r="P5" i="1"/>
  <c r="L6" i="1"/>
  <c r="P6" i="1"/>
  <c r="P7" i="1"/>
  <c r="P8" i="1"/>
  <c r="P9" i="1"/>
  <c r="V12" i="1"/>
  <c r="W12" i="1"/>
  <c r="X12" i="1"/>
  <c r="V13" i="1"/>
  <c r="W13" i="1"/>
  <c r="X13" i="1"/>
  <c r="V14" i="1"/>
  <c r="W14" i="1"/>
  <c r="X14" i="1"/>
  <c r="V15" i="1"/>
  <c r="W15" i="1"/>
  <c r="X15" i="1"/>
  <c r="V16" i="1"/>
  <c r="W16" i="1"/>
  <c r="X16" i="1"/>
  <c r="V17" i="1"/>
  <c r="W17" i="1"/>
  <c r="X17" i="1"/>
  <c r="V18" i="1"/>
  <c r="W18" i="1"/>
  <c r="X18" i="1"/>
  <c r="V19" i="1"/>
  <c r="W19" i="1"/>
  <c r="X19" i="1"/>
  <c r="V20" i="1"/>
  <c r="W20" i="1"/>
  <c r="X20" i="1"/>
  <c r="V21" i="1"/>
  <c r="W21" i="1"/>
  <c r="X21" i="1"/>
  <c r="B25" i="1"/>
  <c r="C25" i="1"/>
  <c r="D25" i="1"/>
  <c r="E25" i="1"/>
  <c r="F25" i="1"/>
  <c r="G25" i="1"/>
  <c r="H25" i="1"/>
  <c r="I25" i="1"/>
  <c r="J25" i="1"/>
  <c r="K25" i="1"/>
  <c r="L25" i="1"/>
  <c r="M25" i="1"/>
  <c r="N25" i="1"/>
  <c r="O25" i="1"/>
  <c r="P25" i="1"/>
  <c r="Q25" i="1"/>
  <c r="R25" i="1"/>
  <c r="S25" i="1"/>
  <c r="T25" i="1"/>
  <c r="U25" i="1"/>
  <c r="V25" i="1"/>
  <c r="B26" i="1"/>
  <c r="C26" i="1"/>
  <c r="D26" i="1"/>
  <c r="E26" i="1"/>
  <c r="F26" i="1"/>
  <c r="G26" i="1"/>
  <c r="H26" i="1"/>
  <c r="I26" i="1"/>
  <c r="J26" i="1"/>
  <c r="K26" i="1"/>
  <c r="L26" i="1"/>
  <c r="M26" i="1"/>
  <c r="N26" i="1"/>
  <c r="O26" i="1"/>
  <c r="P26" i="1"/>
  <c r="Q26" i="1"/>
  <c r="R26" i="1"/>
  <c r="S26" i="1"/>
  <c r="T26" i="1"/>
  <c r="U26" i="1"/>
  <c r="V26"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H5" i="3"/>
  <c r="G6" i="3"/>
  <c r="H6" i="3"/>
  <c r="G7" i="3"/>
  <c r="H7" i="3"/>
  <c r="G8" i="3"/>
  <c r="G9" i="3"/>
  <c r="H9" i="3"/>
  <c r="H10" i="3"/>
  <c r="G11" i="3"/>
  <c r="H11" i="3"/>
  <c r="E12" i="3"/>
  <c r="F12" i="3"/>
  <c r="G12" i="3"/>
  <c r="H12" i="3"/>
  <c r="A38" i="3"/>
  <c r="B38" i="3"/>
  <c r="A39" i="3"/>
  <c r="B39" i="3"/>
  <c r="A40" i="3"/>
  <c r="B40" i="3"/>
  <c r="A41" i="3"/>
  <c r="B41" i="3"/>
  <c r="A42" i="3"/>
  <c r="B42" i="3"/>
  <c r="A43" i="3"/>
  <c r="B43" i="3"/>
  <c r="A44" i="3"/>
  <c r="B44" i="3"/>
  <c r="B45" i="3" l="1"/>
  <c r="A45" i="3"/>
</calcChain>
</file>

<file path=xl/sharedStrings.xml><?xml version="1.0" encoding="utf-8"?>
<sst xmlns="http://schemas.openxmlformats.org/spreadsheetml/2006/main" count="562" uniqueCount="217">
  <si>
    <t>Fiche de calcul pour une note distincte de capacite (x2)</t>
  </si>
  <si>
    <t>Element</t>
  </si>
  <si>
    <t>85. Qualité des Rapports Bailleurs</t>
  </si>
  <si>
    <t>86. Rapports répondent aux besoins</t>
  </si>
  <si>
    <t>87. Mobilisation des fonds</t>
  </si>
  <si>
    <t>elements</t>
  </si>
  <si>
    <t>Feuille de Calcul pour la note distincte capacite (x2)</t>
  </si>
  <si>
    <t>brute</t>
  </si>
  <si>
    <t>Partenariat</t>
  </si>
  <si>
    <t>Note brute Cap</t>
  </si>
  <si>
    <t>Notes Standardises Par Element</t>
  </si>
  <si>
    <t>Durabilite (Perennisation) des Acquis du Programme</t>
  </si>
  <si>
    <t>z*</t>
  </si>
  <si>
    <t>y*</t>
  </si>
  <si>
    <t>n*</t>
  </si>
  <si>
    <t>p</t>
  </si>
  <si>
    <t>SD</t>
  </si>
  <si>
    <t>q</t>
  </si>
  <si>
    <t>r</t>
  </si>
  <si>
    <t>s</t>
  </si>
  <si>
    <t>t</t>
  </si>
  <si>
    <t>sd</t>
  </si>
  <si>
    <t>raw</t>
  </si>
  <si>
    <t>Fiche de Calcul pour la note distincte capacite (x2)</t>
  </si>
  <si>
    <t>Som x2</t>
  </si>
  <si>
    <t>Fiche de Calcul pour la note distincte capacit (x2)</t>
  </si>
  <si>
    <t>Apprentissage Organisationnel</t>
  </si>
  <si>
    <t>Gouvernance et Gestion Strategique</t>
  </si>
  <si>
    <t xml:space="preserve">Note Brute de Cons </t>
  </si>
  <si>
    <t>Note Brute de Cap</t>
  </si>
  <si>
    <t>Apercu des Notes EPC</t>
  </si>
  <si>
    <t>Graduee</t>
  </si>
  <si>
    <t>Standardisee</t>
  </si>
  <si>
    <t>Note Cap</t>
  </si>
  <si>
    <t>Note Cons</t>
  </si>
  <si>
    <t>Interpretation de la note Standardise:</t>
  </si>
  <si>
    <t>1. Gestion des Ressources Humaines</t>
  </si>
  <si>
    <t>2. Gestion des Ressources Financieres</t>
  </si>
  <si>
    <t>3. Participation Equitable</t>
  </si>
  <si>
    <t>5. Partenariat</t>
  </si>
  <si>
    <t>6. Apprentissage Organisationnel</t>
  </si>
  <si>
    <t>7. Gouvernance / Gestion Strategique</t>
  </si>
  <si>
    <t>Moyenne</t>
  </si>
  <si>
    <t>88. Relations Publiques</t>
  </si>
  <si>
    <t>89. Plaidoyer</t>
  </si>
  <si>
    <t>90. Control Financier</t>
  </si>
  <si>
    <t>91. Definition de Polique</t>
  </si>
  <si>
    <t>92. Direction Strategique</t>
  </si>
  <si>
    <t>94. Decisions du personnel</t>
  </si>
  <si>
    <t>Gestion des Ressources Humaines</t>
  </si>
  <si>
    <t>Gestion des Ressources Financieres</t>
  </si>
  <si>
    <t xml:space="preserve">Note Capacite </t>
  </si>
  <si>
    <t>Note Consensus</t>
  </si>
  <si>
    <t>Note Brute Cap</t>
  </si>
  <si>
    <t>Note brute Cons</t>
  </si>
  <si>
    <t>Note Standardisee</t>
  </si>
  <si>
    <t>Note Graduee</t>
  </si>
  <si>
    <t>Moyens de la Cohorte</t>
  </si>
  <si>
    <t xml:space="preserve">Note Cap </t>
  </si>
  <si>
    <t>Note de Capacite</t>
  </si>
  <si>
    <t>Note de Consensus</t>
  </si>
  <si>
    <t>(Calculs)</t>
  </si>
  <si>
    <t>Nbre de Sondes</t>
  </si>
  <si>
    <t>Points Max</t>
  </si>
  <si>
    <t>Nbre de Questions</t>
  </si>
  <si>
    <t>Note brute de Cap</t>
  </si>
  <si>
    <t>Note brute de Consensus</t>
  </si>
  <si>
    <t>Elements</t>
  </si>
  <si>
    <t>Somme</t>
  </si>
  <si>
    <t>Note Standardisee Par Element</t>
  </si>
  <si>
    <t>2. Effet de la Formation</t>
  </si>
  <si>
    <t>GRH</t>
  </si>
  <si>
    <t>GRF</t>
  </si>
  <si>
    <t>PartEq</t>
  </si>
  <si>
    <t>Dur</t>
  </si>
  <si>
    <t>Partn</t>
  </si>
  <si>
    <t>AppOrg</t>
  </si>
  <si>
    <t>Gouv</t>
  </si>
  <si>
    <t>Moyen</t>
  </si>
  <si>
    <t>Participation Equitable</t>
  </si>
  <si>
    <t>Note Capacite</t>
  </si>
  <si>
    <t xml:space="preserve">Points Max </t>
  </si>
  <si>
    <t>Note Brute Cons</t>
  </si>
  <si>
    <t>Notes Standardisees Par Element</t>
  </si>
  <si>
    <t>93. C.A. Representatif</t>
  </si>
  <si>
    <t xml:space="preserve">  0 - 22</t>
  </si>
  <si>
    <t>23 - 32</t>
  </si>
  <si>
    <t>33 - 39</t>
  </si>
  <si>
    <t>40 - 45</t>
  </si>
  <si>
    <t>46 - 50</t>
  </si>
  <si>
    <t>51 - 55</t>
  </si>
  <si>
    <t>56 - 59</t>
  </si>
  <si>
    <t>60 - 63</t>
  </si>
  <si>
    <t>64 - 67</t>
  </si>
  <si>
    <t>68 - 71</t>
  </si>
  <si>
    <t>72 - 74</t>
  </si>
  <si>
    <t>75 - 78</t>
  </si>
  <si>
    <t>79 - 81</t>
  </si>
  <si>
    <t>82 - 84</t>
  </si>
  <si>
    <t>85 - 87</t>
  </si>
  <si>
    <t>88 - 89</t>
  </si>
  <si>
    <t>90- 92</t>
  </si>
  <si>
    <t>93 - 95</t>
  </si>
  <si>
    <t>96 - 98</t>
  </si>
  <si>
    <t>99 - 100</t>
  </si>
  <si>
    <t>20-39</t>
  </si>
  <si>
    <t>40-59</t>
  </si>
  <si>
    <t>60-70</t>
  </si>
  <si>
    <t>71-80</t>
  </si>
  <si>
    <t>81-100</t>
  </si>
  <si>
    <t xml:space="preserve">Date: </t>
  </si>
  <si>
    <t>Item</t>
  </si>
  <si>
    <t>a</t>
  </si>
  <si>
    <t>b</t>
  </si>
  <si>
    <t>c</t>
  </si>
  <si>
    <t>d</t>
  </si>
  <si>
    <t>e</t>
  </si>
  <si>
    <t>f</t>
  </si>
  <si>
    <t>g</t>
  </si>
  <si>
    <t>h</t>
  </si>
  <si>
    <t>i</t>
  </si>
  <si>
    <t>j</t>
  </si>
  <si>
    <t>k</t>
  </si>
  <si>
    <t>l</t>
  </si>
  <si>
    <t>m</t>
  </si>
  <si>
    <t>n</t>
  </si>
  <si>
    <t>o</t>
  </si>
  <si>
    <t>x</t>
  </si>
  <si>
    <t>x2</t>
  </si>
  <si>
    <t>Nbre. de Sondes:</t>
  </si>
  <si>
    <t xml:space="preserve">4. Durabilite des Acquis </t>
  </si>
  <si>
    <t>1. Formation des membres</t>
  </si>
  <si>
    <t>3. Compétences des membres</t>
  </si>
  <si>
    <t>4. Effectif</t>
  </si>
  <si>
    <t xml:space="preserve">5. Adhésion </t>
  </si>
  <si>
    <t>6. Motivation</t>
  </si>
  <si>
    <t>7. Evaluation des membres</t>
  </si>
  <si>
    <t>8. Résolution des conflits</t>
  </si>
  <si>
    <t>9. Dotation en personnel</t>
  </si>
  <si>
    <t>10. Supervision</t>
  </si>
  <si>
    <t xml:space="preserve">11. Budgétisation </t>
  </si>
  <si>
    <t>12. Prévisions exactes</t>
  </si>
  <si>
    <t>13. Modification des dépenses</t>
  </si>
  <si>
    <t>14. Mesures de contingence</t>
  </si>
  <si>
    <t>15. Gestion de liquidité</t>
  </si>
  <si>
    <t>16. Financement privé</t>
  </si>
  <si>
    <t>17. Financement public</t>
  </si>
  <si>
    <t>18. Financement de PTF</t>
  </si>
  <si>
    <t xml:space="preserve">19. Autonomie </t>
  </si>
  <si>
    <t>20. Niveau actuel des ressources</t>
  </si>
  <si>
    <t>21. Evaluation des Besoins</t>
  </si>
  <si>
    <t>22. Conception du Projet</t>
  </si>
  <si>
    <t>23. Mise en œuvre</t>
  </si>
  <si>
    <t>24. Suivi</t>
  </si>
  <si>
    <t>25. Accès Equitable</t>
  </si>
  <si>
    <t>26. Avantage Equitable</t>
  </si>
  <si>
    <t>27. Promotion de l'Equité</t>
  </si>
  <si>
    <t>28. Besoins Changeants</t>
  </si>
  <si>
    <t xml:space="preserve">29. Compétences du Leadership Local </t>
  </si>
  <si>
    <t>30. Connaissance Locale</t>
  </si>
  <si>
    <t>41. Décideurs Politiques</t>
  </si>
  <si>
    <t>42. Secteur Privé</t>
  </si>
  <si>
    <t>43. ONG</t>
  </si>
  <si>
    <t>44. Partenariats Actifs</t>
  </si>
  <si>
    <t xml:space="preserve">45. Suivi de l'efficacité </t>
  </si>
  <si>
    <t>46. Apport Avantages Financiers</t>
  </si>
  <si>
    <t>47. Apport Compétences Techniques</t>
  </si>
  <si>
    <t>48. Apport Nouveaux réseaux</t>
  </si>
  <si>
    <t>49. Partage d'informations</t>
  </si>
  <si>
    <t>50. Renforcement de la confiance</t>
  </si>
  <si>
    <t>61. Qualité des Rapports Bailleurs</t>
  </si>
  <si>
    <t>62. Mobilisation des fonds</t>
  </si>
  <si>
    <t>63. Relations publiques</t>
  </si>
  <si>
    <t>64. Plaidoyer</t>
  </si>
  <si>
    <t>65. Contrôle financier</t>
  </si>
  <si>
    <t>66. Direction stratégique</t>
  </si>
  <si>
    <t>67. Représentativité du CA</t>
  </si>
  <si>
    <t>68. Planification stratégique</t>
  </si>
  <si>
    <t xml:space="preserve">69. Initiatives consistantes </t>
  </si>
  <si>
    <t>70. Suivi du progrès</t>
  </si>
  <si>
    <t xml:space="preserve">33. Conc et D. politique </t>
  </si>
  <si>
    <t>31. Conc et D. environ</t>
  </si>
  <si>
    <t>32. Conc et D. économ</t>
  </si>
  <si>
    <t>36. Exéc et D. économ</t>
  </si>
  <si>
    <t>38. Suivi et D. environ</t>
  </si>
  <si>
    <t>39. Suivi et D. économ</t>
  </si>
  <si>
    <t>34. Conc et D. instituti</t>
  </si>
  <si>
    <t>37. Exéc et D. instituti</t>
  </si>
  <si>
    <t>35. Conc et D. culturel</t>
  </si>
  <si>
    <t>40. Suivi et D. instituti</t>
  </si>
  <si>
    <t>Rapport sur la compatibilité concernant 1 Logiciel de calcul et de traitement KOICA V2.xls</t>
  </si>
  <si>
    <t>Exécuté le 06/04/2018 23:53</t>
  </si>
  <si>
    <t>Les fonctionnalités suivantes de ce classeur ne sont pas prises en charge dans les versions antérieures d’Excel. Ces fonctionnalités seront peut-être perdues ou dégradées si vous ouvrez le classeur dans une version antérieure du programme ou si vous l’enregistrez dans un format de fichier antérieur.</t>
  </si>
  <si>
    <t>Perte mineure de fidélité</t>
  </si>
  <si>
    <t>Nb d'occurrences</t>
  </si>
  <si>
    <t>Version</t>
  </si>
  <si>
    <t>Certaines cellules ou certains styles de ce classeur contiennent une mise en forme qui n'est pas prise en charge par le format de fichier sélectionné. Ces formats seront convertis au format le plus proche disponible.</t>
  </si>
  <si>
    <t>Excel 97-2003</t>
  </si>
  <si>
    <t>Exécuté le 10/04/2018 16:24</t>
  </si>
  <si>
    <t xml:space="preserve">Participants </t>
  </si>
  <si>
    <t>Critères</t>
  </si>
  <si>
    <t>Rapport sur la compatibilité concernant 3 Logiciel de calcul et de traitement KOICA V3.xls</t>
  </si>
  <si>
    <t>Exécuté le 10/04/2018 19:41</t>
  </si>
  <si>
    <t>Très bas niveau de consensus</t>
  </si>
  <si>
    <t>Bas niveau de consensus</t>
  </si>
  <si>
    <t>Niveau modéré de consensus</t>
  </si>
  <si>
    <t>Haut niveau de consensus</t>
  </si>
  <si>
    <t>Très haut niveau de consensus.</t>
  </si>
  <si>
    <t>Interprétation des Scores de consensus standardisés</t>
  </si>
  <si>
    <t>Peu ou pas de capacité dans ce domaine</t>
  </si>
  <si>
    <t>Capacités au-dessus des normes de performance acceptables</t>
  </si>
  <si>
    <t>Capacités en deçà des normes de performance acceptables</t>
  </si>
  <si>
    <t>Capacités avoisinant les normes de performance acceptables</t>
  </si>
  <si>
    <t>Capacités largement au-dessus des normes de performance acceptables</t>
  </si>
  <si>
    <t xml:space="preserve">Organisation ou Site : </t>
  </si>
  <si>
    <t>Rapport sur la compatibilité concernant 3 Logiciel de calcul et de traitement KOICA V5 Gradué.xls</t>
  </si>
  <si>
    <t>Exécuté le 10/04/2018 22:27</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</si>
</sst>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0"/>
      <name val="Arial"/>
    </font>
    <font>
      <b/>
      <sz val="14"/>
      <name val="Arial"/>
      <family val="2"/>
    </font>
    <font>
      <b/>
      <sz val="10"/>
      <name val="Arial"/>
      <family val="2"/>
    </font>
    <font>
      <i/>
      <sz val="10"/>
      <name val="Arial"/>
      <family val="2"/>
    </font>
    <font>
      <sz val="7"/>
      <name val="Arial"/>
      <family val="2"/>
    </font>
    <font>
      <sz val="4"/>
      <name val="Arial"/>
      <family val="2"/>
    </font>
    <font>
      <sz val="10"/>
      <name val="Arial"/>
      <family val="2"/>
    </font>
    <font>
      <b/>
      <i/>
      <sz val="10"/>
      <name val="Arial"/>
      <family val="2"/>
    </font>
    <font>
      <b/>
      <sz val="10"/>
      <name val="Arial"/>
    </font>
    <font>
      <sz val="11"/>
      <color theme="1"/>
      <name val="Calibri"/>
      <family val="2"/>
      <scheme val="minor"/>
    </font>
  </fonts>
  <fills count="7">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s>
  <borders count="21">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top style="thin">
        <color indexed="64"/>
      </top>
      <bottom/>
      <diagonal/>
    </border>
    <border>
      <left style="thin">
        <color indexed="64"/>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s>
  <cellStyleXfs count="2">
    <xf numFmtId="0" fontId="0" fillId="0" borderId="0"/>
    <xf numFmtId="0" fontId="9" fillId="0" borderId="0"/>
  </cellStyleXfs>
  <cellXfs count="122">
    <xf numFmtId="0" fontId="0" fillId="0" borderId="0" xfId="0"/>
    <xf numFmtId="0" fontId="1" fillId="0" borderId="0" xfId="0" applyFont="1"/>
    <xf numFmtId="0" fontId="2" fillId="0" borderId="0" xfId="0" applyFont="1"/>
    <xf numFmtId="0" fontId="3" fillId="0" borderId="0" xfId="0" applyFont="1"/>
    <xf numFmtId="0" fontId="0" fillId="0" borderId="1" xfId="0" applyBorder="1"/>
    <xf numFmtId="0" fontId="0" fillId="0" borderId="2" xfId="0" applyBorder="1"/>
    <xf numFmtId="0" fontId="6" fillId="0" borderId="0" xfId="0" applyFont="1" applyBorder="1"/>
    <xf numFmtId="0" fontId="0" fillId="0" borderId="0" xfId="0" applyBorder="1"/>
    <xf numFmtId="0" fontId="0" fillId="0" borderId="3" xfId="0" applyBorder="1"/>
    <xf numFmtId="0" fontId="2" fillId="0" borderId="0" xfId="0" applyFont="1" applyBorder="1"/>
    <xf numFmtId="0" fontId="0" fillId="0" borderId="4" xfId="0" applyBorder="1"/>
    <xf numFmtId="0" fontId="0" fillId="0" borderId="5" xfId="0" applyBorder="1"/>
    <xf numFmtId="0" fontId="0" fillId="0" borderId="6" xfId="0" applyBorder="1"/>
    <xf numFmtId="0" fontId="2" fillId="0" borderId="7" xfId="0" applyFont="1" applyBorder="1"/>
    <xf numFmtId="0" fontId="6" fillId="0" borderId="7" xfId="0" applyFont="1" applyBorder="1"/>
    <xf numFmtId="0" fontId="0" fillId="0" borderId="7" xfId="0" applyBorder="1"/>
    <xf numFmtId="0" fontId="0" fillId="0" borderId="8" xfId="0" applyBorder="1"/>
    <xf numFmtId="0" fontId="2" fillId="0" borderId="9" xfId="0" applyFont="1" applyBorder="1"/>
    <xf numFmtId="0" fontId="6" fillId="0" borderId="9" xfId="0" applyFont="1" applyBorder="1"/>
    <xf numFmtId="0" fontId="0" fillId="0" borderId="9" xfId="0" applyBorder="1"/>
    <xf numFmtId="0" fontId="0" fillId="0" borderId="10" xfId="0" applyBorder="1"/>
    <xf numFmtId="0" fontId="5" fillId="0" borderId="0" xfId="0" applyFont="1" applyBorder="1"/>
    <xf numFmtId="2" fontId="2" fillId="0" borderId="11" xfId="0" applyNumberFormat="1" applyFont="1" applyBorder="1"/>
    <xf numFmtId="2" fontId="2" fillId="0" borderId="12" xfId="0" applyNumberFormat="1" applyFont="1" applyBorder="1"/>
    <xf numFmtId="2" fontId="0" fillId="0" borderId="0" xfId="0" applyNumberFormat="1"/>
    <xf numFmtId="0" fontId="2" fillId="0" borderId="13" xfId="0" applyFont="1" applyBorder="1"/>
    <xf numFmtId="0" fontId="2" fillId="0" borderId="14" xfId="0" applyFont="1" applyBorder="1"/>
    <xf numFmtId="0" fontId="3" fillId="0" borderId="0" xfId="0" applyFont="1" applyAlignment="1">
      <alignment horizontal="center"/>
    </xf>
    <xf numFmtId="1" fontId="2" fillId="0" borderId="0" xfId="0" applyNumberFormat="1" applyFont="1" applyBorder="1"/>
    <xf numFmtId="1" fontId="0" fillId="0" borderId="0" xfId="0" applyNumberFormat="1"/>
    <xf numFmtId="0" fontId="0" fillId="0" borderId="0" xfId="0" applyAlignment="1">
      <alignment horizontal="center"/>
    </xf>
    <xf numFmtId="0" fontId="4" fillId="0" borderId="0" xfId="0" applyFont="1" applyAlignment="1">
      <alignment horizontal="center"/>
    </xf>
    <xf numFmtId="2" fontId="0" fillId="0" borderId="0" xfId="0" applyNumberFormat="1" applyAlignment="1">
      <alignment horizontal="center"/>
    </xf>
    <xf numFmtId="0" fontId="0" fillId="0" borderId="14" xfId="0" applyBorder="1" applyAlignment="1">
      <alignment horizontal="center"/>
    </xf>
    <xf numFmtId="0" fontId="3" fillId="0" borderId="0" xfId="0" applyFont="1" applyBorder="1" applyAlignment="1">
      <alignment horizontal="center"/>
    </xf>
    <xf numFmtId="0" fontId="2" fillId="0" borderId="1" xfId="0" applyFont="1" applyBorder="1"/>
    <xf numFmtId="1" fontId="2" fillId="0" borderId="14" xfId="0" applyNumberFormat="1" applyFont="1" applyBorder="1" applyAlignment="1">
      <alignment horizontal="center"/>
    </xf>
    <xf numFmtId="1" fontId="2" fillId="0" borderId="0" xfId="0" applyNumberFormat="1" applyFont="1" applyBorder="1" applyAlignment="1">
      <alignment horizontal="center"/>
    </xf>
    <xf numFmtId="1" fontId="2" fillId="0" borderId="4" xfId="0" applyNumberFormat="1" applyFont="1" applyBorder="1" applyAlignment="1">
      <alignment horizontal="center"/>
    </xf>
    <xf numFmtId="1" fontId="2" fillId="0" borderId="5" xfId="0" applyNumberFormat="1" applyFont="1" applyBorder="1" applyAlignment="1">
      <alignment horizontal="center"/>
    </xf>
    <xf numFmtId="0" fontId="3" fillId="0" borderId="0" xfId="0" applyFont="1" applyBorder="1"/>
    <xf numFmtId="0" fontId="3" fillId="0" borderId="5" xfId="0" applyFont="1" applyBorder="1"/>
    <xf numFmtId="0" fontId="6" fillId="0" borderId="5" xfId="0" applyFont="1" applyBorder="1"/>
    <xf numFmtId="0" fontId="2" fillId="0" borderId="0" xfId="0" applyFont="1" applyBorder="1" applyAlignment="1">
      <alignment horizontal="left"/>
    </xf>
    <xf numFmtId="0" fontId="3" fillId="0" borderId="0" xfId="0" applyFont="1" applyBorder="1" applyAlignment="1">
      <alignment horizontal="left"/>
    </xf>
    <xf numFmtId="0" fontId="3" fillId="0" borderId="5" xfId="0" applyFont="1" applyBorder="1" applyAlignment="1">
      <alignment horizontal="left"/>
    </xf>
    <xf numFmtId="0" fontId="0" fillId="0" borderId="4" xfId="0" applyBorder="1" applyAlignment="1">
      <alignment horizontal="center"/>
    </xf>
    <xf numFmtId="0" fontId="3" fillId="0" borderId="14" xfId="0" applyFont="1" applyBorder="1"/>
    <xf numFmtId="2" fontId="0" fillId="0" borderId="0" xfId="0" applyNumberFormat="1" applyBorder="1"/>
    <xf numFmtId="0" fontId="6" fillId="0" borderId="0" xfId="0" applyFont="1" applyAlignment="1">
      <alignment horizontal="center"/>
    </xf>
    <xf numFmtId="0" fontId="0" fillId="0" borderId="0" xfId="0" applyAlignment="1">
      <alignment horizontal="right"/>
    </xf>
    <xf numFmtId="0" fontId="1" fillId="2" borderId="15" xfId="0" applyFont="1" applyFill="1" applyBorder="1"/>
    <xf numFmtId="0" fontId="0" fillId="3" borderId="2" xfId="0" applyFill="1" applyBorder="1"/>
    <xf numFmtId="0" fontId="0" fillId="3" borderId="6" xfId="0" applyFill="1" applyBorder="1" applyAlignment="1">
      <alignment horizontal="center"/>
    </xf>
    <xf numFmtId="0" fontId="2" fillId="2" borderId="0" xfId="0" applyFont="1" applyFill="1"/>
    <xf numFmtId="0" fontId="1" fillId="2" borderId="16" xfId="0" applyFont="1" applyFill="1" applyBorder="1"/>
    <xf numFmtId="0" fontId="1" fillId="2" borderId="17" xfId="0" applyFont="1" applyFill="1" applyBorder="1"/>
    <xf numFmtId="0" fontId="2" fillId="0" borderId="2" xfId="0" applyFont="1" applyBorder="1"/>
    <xf numFmtId="0" fontId="2" fillId="0" borderId="3" xfId="0" applyFont="1" applyBorder="1"/>
    <xf numFmtId="1" fontId="2" fillId="0" borderId="3" xfId="0" applyNumberFormat="1" applyFont="1" applyBorder="1" applyAlignment="1">
      <alignment horizontal="center"/>
    </xf>
    <xf numFmtId="0" fontId="0" fillId="3" borderId="14" xfId="0" applyFill="1" applyBorder="1"/>
    <xf numFmtId="0" fontId="6" fillId="0" borderId="0" xfId="0" applyFont="1"/>
    <xf numFmtId="0" fontId="0" fillId="0" borderId="0" xfId="0" applyAlignment="1"/>
    <xf numFmtId="0" fontId="0" fillId="0" borderId="1" xfId="0" applyBorder="1" applyAlignment="1"/>
    <xf numFmtId="0" fontId="0" fillId="0" borderId="0" xfId="0" applyBorder="1" applyAlignment="1"/>
    <xf numFmtId="0" fontId="0" fillId="0" borderId="5" xfId="0" applyBorder="1" applyAlignment="1"/>
    <xf numFmtId="0" fontId="3" fillId="0" borderId="0" xfId="0" applyFont="1" applyBorder="1" applyAlignment="1"/>
    <xf numFmtId="0" fontId="3" fillId="0" borderId="5" xfId="0" applyFont="1" applyBorder="1" applyAlignment="1"/>
    <xf numFmtId="0" fontId="6" fillId="0" borderId="0" xfId="0" applyFont="1" applyAlignment="1">
      <alignment vertical="center"/>
    </xf>
    <xf numFmtId="0" fontId="2" fillId="0" borderId="0" xfId="0" applyNumberFormat="1" applyFont="1" applyAlignment="1">
      <alignment vertical="top" wrapText="1"/>
    </xf>
    <xf numFmtId="0" fontId="0" fillId="0" borderId="0" xfId="0" applyNumberFormat="1" applyAlignment="1">
      <alignment vertical="top" wrapText="1"/>
    </xf>
    <xf numFmtId="0" fontId="0" fillId="0" borderId="18" xfId="0" applyNumberFormat="1" applyBorder="1" applyAlignment="1">
      <alignment vertical="top" wrapText="1"/>
    </xf>
    <xf numFmtId="0" fontId="0" fillId="0" borderId="19" xfId="0" applyNumberFormat="1" applyBorder="1" applyAlignment="1">
      <alignment vertical="top" wrapText="1"/>
    </xf>
    <xf numFmtId="0" fontId="2" fillId="0" borderId="0" xfId="0" applyNumberFormat="1" applyFont="1" applyAlignment="1">
      <alignment horizontal="center" vertical="top" wrapText="1"/>
    </xf>
    <xf numFmtId="0" fontId="0" fillId="0" borderId="0" xfId="0" applyNumberFormat="1" applyAlignment="1">
      <alignment horizontal="center" vertical="top" wrapText="1"/>
    </xf>
    <xf numFmtId="0" fontId="0" fillId="0" borderId="19" xfId="0" applyNumberFormat="1" applyBorder="1" applyAlignment="1">
      <alignment horizontal="center" vertical="top" wrapText="1"/>
    </xf>
    <xf numFmtId="0" fontId="0" fillId="0" borderId="20" xfId="0" applyNumberFormat="1" applyBorder="1" applyAlignment="1">
      <alignment horizontal="center" vertical="top" wrapText="1"/>
    </xf>
    <xf numFmtId="0" fontId="0" fillId="0" borderId="19" xfId="0" applyNumberFormat="1" applyBorder="1" applyAlignment="1">
      <alignment horizontal="center" vertical="top"/>
    </xf>
    <xf numFmtId="0" fontId="0" fillId="0" borderId="0" xfId="0" applyFill="1" applyAlignment="1">
      <alignment horizontal="center"/>
    </xf>
    <xf numFmtId="0" fontId="2" fillId="2" borderId="13" xfId="0" applyFont="1" applyFill="1" applyBorder="1"/>
    <xf numFmtId="0" fontId="2" fillId="2" borderId="4" xfId="0" applyFont="1" applyFill="1" applyBorder="1"/>
    <xf numFmtId="0" fontId="2" fillId="2" borderId="5" xfId="0" applyFont="1" applyFill="1" applyBorder="1"/>
    <xf numFmtId="0" fontId="0" fillId="3" borderId="1" xfId="0" applyFill="1" applyBorder="1"/>
    <xf numFmtId="0" fontId="2" fillId="4" borderId="0" xfId="0" applyFont="1" applyFill="1"/>
    <xf numFmtId="0" fontId="3" fillId="2" borderId="0" xfId="0" applyFont="1" applyFill="1"/>
    <xf numFmtId="0" fontId="0" fillId="2" borderId="0" xfId="0" applyFill="1"/>
    <xf numFmtId="0" fontId="7" fillId="2" borderId="0" xfId="0" applyFont="1" applyFill="1"/>
    <xf numFmtId="1" fontId="2" fillId="4" borderId="0" xfId="0" applyNumberFormat="1" applyFont="1" applyFill="1" applyAlignment="1">
      <alignment horizontal="center"/>
    </xf>
    <xf numFmtId="0" fontId="2" fillId="5" borderId="0" xfId="0" applyFont="1" applyFill="1"/>
    <xf numFmtId="0" fontId="3" fillId="2" borderId="0" xfId="0" applyFont="1" applyFill="1" applyAlignment="1">
      <alignment horizontal="center"/>
    </xf>
    <xf numFmtId="0" fontId="0" fillId="2" borderId="0" xfId="0" applyFill="1" applyAlignment="1">
      <alignment horizontal="center"/>
    </xf>
    <xf numFmtId="0" fontId="7" fillId="2" borderId="0" xfId="0" applyFont="1" applyFill="1" applyAlignment="1">
      <alignment horizontal="center"/>
    </xf>
    <xf numFmtId="0" fontId="2" fillId="2" borderId="0" xfId="0" applyFont="1" applyFill="1" applyAlignment="1">
      <alignment horizontal="center"/>
    </xf>
    <xf numFmtId="0" fontId="8" fillId="0" borderId="0" xfId="0" applyNumberFormat="1" applyFont="1" applyAlignment="1">
      <alignment vertical="top" wrapText="1"/>
    </xf>
    <xf numFmtId="0" fontId="8" fillId="0" borderId="0" xfId="0" applyNumberFormat="1" applyFont="1" applyAlignment="1">
      <alignment horizontal="center" vertical="top" wrapText="1"/>
    </xf>
    <xf numFmtId="0" fontId="0" fillId="0" borderId="0" xfId="0" applyBorder="1" applyAlignment="1">
      <alignment horizontal="center"/>
    </xf>
    <xf numFmtId="1" fontId="2" fillId="2" borderId="0" xfId="0" applyNumberFormat="1" applyFont="1" applyFill="1" applyAlignment="1">
      <alignment horizontal="center"/>
    </xf>
    <xf numFmtId="0" fontId="2" fillId="6" borderId="13" xfId="0" applyFont="1" applyFill="1" applyBorder="1"/>
    <xf numFmtId="0" fontId="2" fillId="6" borderId="1" xfId="0" applyFont="1" applyFill="1" applyBorder="1"/>
    <xf numFmtId="0" fontId="6" fillId="6" borderId="1" xfId="0" applyFont="1" applyFill="1" applyBorder="1"/>
    <xf numFmtId="0" fontId="6" fillId="6" borderId="2" xfId="0" applyFont="1" applyFill="1" applyBorder="1"/>
    <xf numFmtId="0" fontId="6" fillId="6" borderId="14" xfId="0" applyFont="1" applyFill="1" applyBorder="1"/>
    <xf numFmtId="0" fontId="6" fillId="6" borderId="0" xfId="0" applyFont="1" applyFill="1" applyBorder="1"/>
    <xf numFmtId="0" fontId="6" fillId="6" borderId="3" xfId="0" applyFont="1" applyFill="1" applyBorder="1"/>
    <xf numFmtId="0" fontId="2" fillId="6" borderId="14" xfId="0" applyFont="1" applyFill="1" applyBorder="1" applyAlignment="1">
      <alignment horizontal="center"/>
    </xf>
    <xf numFmtId="0" fontId="2" fillId="6" borderId="0" xfId="0" applyFont="1" applyFill="1" applyBorder="1"/>
    <xf numFmtId="0" fontId="2" fillId="6" borderId="3" xfId="0" applyFont="1" applyFill="1" applyBorder="1"/>
    <xf numFmtId="0" fontId="2" fillId="6" borderId="4" xfId="0" applyFont="1" applyFill="1" applyBorder="1" applyAlignment="1">
      <alignment horizontal="center"/>
    </xf>
    <xf numFmtId="0" fontId="6" fillId="6" borderId="5" xfId="0" applyFont="1" applyFill="1" applyBorder="1"/>
    <xf numFmtId="0" fontId="6" fillId="6" borderId="6" xfId="0" applyFont="1" applyFill="1" applyBorder="1"/>
    <xf numFmtId="0" fontId="0" fillId="6" borderId="1" xfId="0" applyFill="1" applyBorder="1"/>
    <xf numFmtId="0" fontId="0" fillId="6" borderId="2" xfId="0" applyFill="1" applyBorder="1"/>
    <xf numFmtId="0" fontId="0" fillId="6" borderId="0" xfId="0" applyFill="1" applyBorder="1"/>
    <xf numFmtId="0" fontId="0" fillId="6" borderId="3" xfId="0" applyFill="1" applyBorder="1"/>
    <xf numFmtId="0" fontId="0" fillId="6" borderId="5" xfId="0" applyFill="1" applyBorder="1"/>
    <xf numFmtId="0" fontId="0" fillId="6" borderId="6" xfId="0" applyFill="1" applyBorder="1"/>
    <xf numFmtId="2" fontId="2" fillId="5" borderId="0" xfId="0" applyNumberFormat="1" applyFont="1" applyFill="1" applyAlignment="1">
      <alignment horizontal="center"/>
    </xf>
    <xf numFmtId="0" fontId="0" fillId="0" borderId="0" xfId="0" applyAlignment="1">
      <alignment horizontal="center"/>
    </xf>
    <xf numFmtId="0" fontId="7" fillId="4" borderId="0" xfId="0" applyFont="1" applyFill="1" applyAlignment="1">
      <alignment horizontal="center"/>
    </xf>
    <xf numFmtId="0" fontId="0" fillId="0" borderId="0" xfId="0" applyAlignment="1">
      <alignment horizontal="center"/>
    </xf>
    <xf numFmtId="0" fontId="7" fillId="5" borderId="0" xfId="0" applyFont="1" applyFill="1" applyAlignment="1">
      <alignment horizontal="center"/>
    </xf>
    <xf numFmtId="0" fontId="0" fillId="5" borderId="0" xfId="0" applyFill="1" applyAlignment="1">
      <alignment horizontal="center"/>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5.xml"/><Relationship Id="rId18" Type="http://schemas.openxmlformats.org/officeDocument/2006/relationships/worksheet" Target="worksheets/sheet1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worksheet" Target="worksheets/sheet10.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9.xml"/><Relationship Id="rId20" Type="http://schemas.openxmlformats.org/officeDocument/2006/relationships/worksheet" Target="worksheets/sheet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7.xml"/><Relationship Id="rId23" Type="http://schemas.openxmlformats.org/officeDocument/2006/relationships/sharedStrings" Target="sharedStrings.xml"/><Relationship Id="rId10" Type="http://schemas.openxmlformats.org/officeDocument/2006/relationships/chartsheet" Target="chartsheets/sheet2.xml"/><Relationship Id="rId19" Type="http://schemas.openxmlformats.org/officeDocument/2006/relationships/worksheet" Target="worksheets/sheet12.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6.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FR"/>
              <a:t>GRILLE Graduee</a:t>
            </a:r>
          </a:p>
        </c:rich>
      </c:tx>
      <c:layout>
        <c:manualLayout>
          <c:xMode val="edge"/>
          <c:yMode val="edge"/>
          <c:x val="0.37529739177034427"/>
          <c:y val="1.3888888888888888E-2"/>
        </c:manualLayout>
      </c:layout>
      <c:overlay val="0"/>
      <c:spPr>
        <a:noFill/>
        <a:ln w="25400">
          <a:noFill/>
        </a:ln>
      </c:spPr>
    </c:title>
    <c:autoTitleDeleted val="0"/>
    <c:plotArea>
      <c:layout>
        <c:manualLayout>
          <c:layoutTarget val="inner"/>
          <c:xMode val="edge"/>
          <c:yMode val="edge"/>
          <c:x val="0.13301678135296977"/>
          <c:y val="0.12777812439812392"/>
          <c:w val="0.80522658711887052"/>
          <c:h val="0.7083352548156869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xVal>
            <c:strRef>
              <c:f>Aperçu!$E$5:$E$12</c:f>
              <c:strCache>
                <c:ptCount val="8"/>
                <c:pt idx="0">
                  <c:v>5</c:v>
                </c:pt>
                <c:pt idx="1">
                  <c:v>5</c:v>
                </c:pt>
                <c:pt idx="2">
                  <c:v>5</c:v>
                </c:pt>
                <c:pt idx="3">
                  <c:v>5</c:v>
                </c:pt>
                <c:pt idx="4">
                  <c:v>5</c:v>
                </c:pt>
                <c:pt idx="5">
                  <c:v>5</c:v>
                </c:pt>
                <c:pt idx="6">
                  <c:v>5</c:v>
                </c:pt>
                <c:pt idx="7">
                  <c:v>0</c:v>
                </c:pt>
              </c:strCache>
            </c:strRef>
          </c:xVal>
          <c:yVal>
            <c:numRef>
              <c:f>Aperçu!$F$5:$F$12</c:f>
              <c:numCache>
                <c:formatCode>General</c:formatCode>
                <c:ptCount val="8"/>
                <c:pt idx="0">
                  <c:v>0</c:v>
                </c:pt>
                <c:pt idx="1">
                  <c:v>0</c:v>
                </c:pt>
                <c:pt idx="2">
                  <c:v>0</c:v>
                </c:pt>
                <c:pt idx="3">
                  <c:v>0</c:v>
                </c:pt>
                <c:pt idx="4">
                  <c:v>0</c:v>
                </c:pt>
                <c:pt idx="5">
                  <c:v>0</c:v>
                </c:pt>
                <c:pt idx="6">
                  <c:v>0</c:v>
                </c:pt>
                <c:pt idx="7" formatCode="0">
                  <c:v>0</c:v>
                </c:pt>
              </c:numCache>
            </c:numRef>
          </c:yVal>
          <c:smooth val="0"/>
        </c:ser>
        <c:dLbls>
          <c:showLegendKey val="0"/>
          <c:showVal val="0"/>
          <c:showCatName val="0"/>
          <c:showSerName val="0"/>
          <c:showPercent val="0"/>
          <c:showBubbleSize val="0"/>
        </c:dLbls>
        <c:axId val="38111104"/>
        <c:axId val="39863040"/>
      </c:scatterChart>
      <c:valAx>
        <c:axId val="38111104"/>
        <c:scaling>
          <c:orientation val="minMax"/>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fr-FR"/>
                  <a:t>Capacite</a:t>
                </a:r>
              </a:p>
            </c:rich>
          </c:tx>
          <c:layout>
            <c:manualLayout>
              <c:xMode val="edge"/>
              <c:yMode val="edge"/>
              <c:x val="0.4489316793637454"/>
              <c:y val="0.9083356663750364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39863040"/>
        <c:crosses val="autoZero"/>
        <c:crossBetween val="midCat"/>
        <c:majorUnit val="50"/>
      </c:valAx>
      <c:valAx>
        <c:axId val="39863040"/>
        <c:scaling>
          <c:orientation val="minMax"/>
          <c:max val="1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fr-FR"/>
                  <a:t>Consensus</a:t>
                </a:r>
              </a:p>
            </c:rich>
          </c:tx>
          <c:layout>
            <c:manualLayout>
              <c:xMode val="edge"/>
              <c:yMode val="edge"/>
              <c:x val="1.1876427279536694E-2"/>
              <c:y val="0.3500008748906386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fr-FR"/>
          </a:p>
        </c:txPr>
        <c:crossAx val="38111104"/>
        <c:crosses val="autoZero"/>
        <c:crossBetween val="midCat"/>
        <c:majorUnit val="5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fr-FR"/>
              <a:t>Notes Standardisees</a:t>
            </a:r>
          </a:p>
        </c:rich>
      </c:tx>
      <c:layout>
        <c:manualLayout>
          <c:xMode val="edge"/>
          <c:yMode val="edge"/>
          <c:x val="0.27562663314535796"/>
          <c:y val="3.3333333333333333E-2"/>
        </c:manualLayout>
      </c:layout>
      <c:overlay val="0"/>
      <c:spPr>
        <a:noFill/>
        <a:ln w="25400">
          <a:noFill/>
        </a:ln>
      </c:spPr>
    </c:title>
    <c:autoTitleDeleted val="0"/>
    <c:plotArea>
      <c:layout>
        <c:manualLayout>
          <c:layoutTarget val="inner"/>
          <c:xMode val="edge"/>
          <c:yMode val="edge"/>
          <c:x val="0.22551277930219082"/>
          <c:y val="0.28055631661327207"/>
          <c:w val="0.74259763689408287"/>
          <c:h val="0.51666806821850098"/>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Aperçu!$I$5:$I$12</c:f>
              <c:strCache>
                <c:ptCount val="8"/>
                <c:pt idx="0">
                  <c:v>GRH</c:v>
                </c:pt>
                <c:pt idx="1">
                  <c:v>GRF</c:v>
                </c:pt>
                <c:pt idx="2">
                  <c:v>PartEq</c:v>
                </c:pt>
                <c:pt idx="3">
                  <c:v>Dur</c:v>
                </c:pt>
                <c:pt idx="4">
                  <c:v>Partn</c:v>
                </c:pt>
                <c:pt idx="5">
                  <c:v>AppOrg</c:v>
                </c:pt>
                <c:pt idx="6">
                  <c:v>Gouv</c:v>
                </c:pt>
                <c:pt idx="7">
                  <c:v>Moyen</c:v>
                </c:pt>
              </c:strCache>
            </c:strRef>
          </c:cat>
          <c:val>
            <c:numRef>
              <c:f>Aperçu!$G$5:$G$12</c:f>
              <c:numCache>
                <c:formatCode>0.00</c:formatCode>
                <c:ptCount val="8"/>
                <c:pt idx="0">
                  <c:v>0</c:v>
                </c:pt>
                <c:pt idx="1">
                  <c:v>0</c:v>
                </c:pt>
                <c:pt idx="2">
                  <c:v>0</c:v>
                </c:pt>
                <c:pt idx="3">
                  <c:v>0</c:v>
                </c:pt>
                <c:pt idx="4">
                  <c:v>0</c:v>
                </c:pt>
                <c:pt idx="5">
                  <c:v>0</c:v>
                </c:pt>
                <c:pt idx="6">
                  <c:v>0</c:v>
                </c:pt>
                <c:pt idx="7">
                  <c:v>0</c:v>
                </c:pt>
              </c:numCache>
            </c:numRef>
          </c:val>
        </c:ser>
        <c:ser>
          <c:idx val="1"/>
          <c:order val="1"/>
          <c:tx>
            <c:v>Consensus Score</c:v>
          </c:tx>
          <c:spPr>
            <a:solidFill>
              <a:srgbClr val="993366"/>
            </a:solidFill>
            <a:ln w="12700">
              <a:solidFill>
                <a:srgbClr val="000000"/>
              </a:solidFill>
              <a:prstDash val="solid"/>
            </a:ln>
          </c:spPr>
          <c:invertIfNegative val="0"/>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Aperçu!$I$5:$I$12</c:f>
              <c:strCache>
                <c:ptCount val="8"/>
                <c:pt idx="0">
                  <c:v>GRH</c:v>
                </c:pt>
                <c:pt idx="1">
                  <c:v>GRF</c:v>
                </c:pt>
                <c:pt idx="2">
                  <c:v>PartEq</c:v>
                </c:pt>
                <c:pt idx="3">
                  <c:v>Dur</c:v>
                </c:pt>
                <c:pt idx="4">
                  <c:v>Partn</c:v>
                </c:pt>
                <c:pt idx="5">
                  <c:v>AppOrg</c:v>
                </c:pt>
                <c:pt idx="6">
                  <c:v>Gouv</c:v>
                </c:pt>
                <c:pt idx="7">
                  <c:v>Moyen</c:v>
                </c:pt>
              </c:strCache>
            </c:strRef>
          </c:cat>
          <c:val>
            <c:numRef>
              <c:f>Aperçu!$H$5:$H$12</c:f>
              <c:numCache>
                <c:formatCode>0.00</c:formatCode>
                <c:ptCount val="8"/>
                <c:pt idx="0">
                  <c:v>100</c:v>
                </c:pt>
                <c:pt idx="1">
                  <c:v>100</c:v>
                </c:pt>
                <c:pt idx="2">
                  <c:v>100</c:v>
                </c:pt>
                <c:pt idx="3">
                  <c:v>100</c:v>
                </c:pt>
                <c:pt idx="4">
                  <c:v>100</c:v>
                </c:pt>
                <c:pt idx="5">
                  <c:v>100</c:v>
                </c:pt>
                <c:pt idx="6">
                  <c:v>100</c:v>
                </c:pt>
                <c:pt idx="7">
                  <c:v>100</c:v>
                </c:pt>
              </c:numCache>
            </c:numRef>
          </c:val>
        </c:ser>
        <c:dLbls>
          <c:showLegendKey val="0"/>
          <c:showVal val="0"/>
          <c:showCatName val="0"/>
          <c:showSerName val="0"/>
          <c:showPercent val="0"/>
          <c:showBubbleSize val="0"/>
        </c:dLbls>
        <c:gapWidth val="150"/>
        <c:axId val="94852992"/>
        <c:axId val="95360128"/>
      </c:barChart>
      <c:catAx>
        <c:axId val="94852992"/>
        <c:scaling>
          <c:orientation val="minMax"/>
        </c:scaling>
        <c:delete val="0"/>
        <c:axPos val="b"/>
        <c:title>
          <c:tx>
            <c:rich>
              <a:bodyPr/>
              <a:lstStyle/>
              <a:p>
                <a:pPr>
                  <a:defRPr sz="1150" b="1" i="0" u="none" strike="noStrike" baseline="0">
                    <a:solidFill>
                      <a:srgbClr val="000000"/>
                    </a:solidFill>
                    <a:latin typeface="Arial"/>
                    <a:ea typeface="Arial"/>
                    <a:cs typeface="Arial"/>
                  </a:defRPr>
                </a:pPr>
                <a:r>
                  <a:rPr lang="fr-FR"/>
                  <a:t>Domaines de Competence</a:t>
                </a:r>
              </a:p>
            </c:rich>
          </c:tx>
          <c:layout>
            <c:manualLayout>
              <c:xMode val="edge"/>
              <c:yMode val="edge"/>
              <c:x val="0.38041051963848199"/>
              <c:y val="0.911113444152814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95360128"/>
        <c:crosses val="autoZero"/>
        <c:auto val="1"/>
        <c:lblAlgn val="ctr"/>
        <c:lblOffset val="100"/>
        <c:tickLblSkip val="1"/>
        <c:tickMarkSkip val="1"/>
        <c:noMultiLvlLbl val="0"/>
      </c:catAx>
      <c:valAx>
        <c:axId val="95360128"/>
        <c:scaling>
          <c:orientation val="minMax"/>
          <c:max val="100"/>
          <c:min val="20"/>
        </c:scaling>
        <c:delete val="0"/>
        <c:axPos val="l"/>
        <c:majorGridlines>
          <c:spPr>
            <a:ln w="3175">
              <a:solidFill>
                <a:srgbClr val="FFFFFF"/>
              </a:solidFill>
              <a:prstDash val="solid"/>
            </a:ln>
          </c:spPr>
        </c:majorGridlines>
        <c:title>
          <c:tx>
            <c:rich>
              <a:bodyPr/>
              <a:lstStyle/>
              <a:p>
                <a:pPr>
                  <a:defRPr sz="1150" b="1" i="0" u="none" strike="noStrike" baseline="0">
                    <a:solidFill>
                      <a:srgbClr val="000000"/>
                    </a:solidFill>
                    <a:latin typeface="Arial"/>
                    <a:ea typeface="Arial"/>
                    <a:cs typeface="Arial"/>
                  </a:defRPr>
                </a:pPr>
                <a:r>
                  <a:rPr lang="fr-FR"/>
                  <a:t>Note</a:t>
                </a:r>
              </a:p>
            </c:rich>
          </c:tx>
          <c:layout>
            <c:manualLayout>
              <c:xMode val="edge"/>
              <c:yMode val="edge"/>
              <c:x val="2.9612817244851045E-2"/>
              <c:y val="0.4861125692621756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150" b="0" i="0" u="none" strike="noStrike" baseline="0">
                <a:solidFill>
                  <a:srgbClr val="000000"/>
                </a:solidFill>
                <a:latin typeface="Arial"/>
                <a:ea typeface="Arial"/>
                <a:cs typeface="Arial"/>
              </a:defRPr>
            </a:pPr>
            <a:endParaRPr lang="fr-FR"/>
          </a:p>
        </c:txPr>
        <c:crossAx val="94852992"/>
        <c:crosses val="autoZero"/>
        <c:crossBetween val="between"/>
        <c:majorUnit val="20"/>
        <c:minorUnit val="10"/>
      </c:valAx>
      <c:spPr>
        <a:solidFill>
          <a:srgbClr val="C0C0C0"/>
        </a:solidFill>
        <a:ln w="12700">
          <a:solidFill>
            <a:srgbClr val="808080"/>
          </a:solidFill>
          <a:prstDash val="solid"/>
        </a:ln>
      </c:spPr>
    </c:plotArea>
    <c:legend>
      <c:legendPos val="t"/>
      <c:layout>
        <c:manualLayout>
          <c:xMode val="edge"/>
          <c:yMode val="edge"/>
          <c:x val="0.31662901339106447"/>
          <c:y val="0.15000029163021289"/>
          <c:w val="0.59908957056642875"/>
          <c:h val="7.2222513852435111E-2"/>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FR"/>
              <a:t>Notes Standardisees</a:t>
            </a:r>
          </a:p>
        </c:rich>
      </c:tx>
      <c:layout>
        <c:manualLayout>
          <c:xMode val="edge"/>
          <c:yMode val="edge"/>
          <c:x val="0.3143509611187737"/>
          <c:y val="3.6423841059602648E-2"/>
        </c:manualLayout>
      </c:layout>
      <c:overlay val="0"/>
      <c:spPr>
        <a:noFill/>
        <a:ln w="25400">
          <a:noFill/>
        </a:ln>
      </c:spPr>
    </c:title>
    <c:autoTitleDeleted val="0"/>
    <c:plotArea>
      <c:layout>
        <c:manualLayout>
          <c:layoutTarget val="inner"/>
          <c:xMode val="edge"/>
          <c:yMode val="edge"/>
          <c:x val="0.24373603419529716"/>
          <c:y val="0.38410596026490068"/>
          <c:w val="0.64920345556691295"/>
          <c:h val="0.30132450331125826"/>
        </c:manualLayout>
      </c:layout>
      <c:barChart>
        <c:barDir val="col"/>
        <c:grouping val="clustered"/>
        <c:varyColors val="0"/>
        <c:ser>
          <c:idx val="1"/>
          <c:order val="0"/>
          <c:tx>
            <c:v>Capacity Score</c:v>
          </c:tx>
          <c:spPr>
            <a:solidFill>
              <a:srgbClr val="993366"/>
            </a:solidFill>
            <a:ln w="12700">
              <a:solidFill>
                <a:srgbClr val="000000"/>
              </a:solidFill>
              <a:prstDash val="solid"/>
            </a:ln>
          </c:spPr>
          <c:invertIfNegative val="0"/>
          <c:dLbls>
            <c:numFmt formatCode="0" sourceLinked="0"/>
            <c:spPr>
              <a:noFill/>
              <a:ln w="25400">
                <a:noFill/>
              </a:ln>
            </c:spPr>
            <c:txPr>
              <a:bodyPr/>
              <a:lstStyle/>
              <a:p>
                <a:pPr algn="ctr" rtl="0">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Aperçu!$C$38:$C$45</c:f>
              <c:strCache>
                <c:ptCount val="8"/>
                <c:pt idx="0">
                  <c:v>GRH</c:v>
                </c:pt>
                <c:pt idx="1">
                  <c:v>GRF</c:v>
                </c:pt>
                <c:pt idx="2">
                  <c:v>PartEq</c:v>
                </c:pt>
                <c:pt idx="3">
                  <c:v>Dur</c:v>
                </c:pt>
                <c:pt idx="4">
                  <c:v>Partn</c:v>
                </c:pt>
                <c:pt idx="5">
                  <c:v>AppOrg</c:v>
                </c:pt>
                <c:pt idx="6">
                  <c:v>Gouv</c:v>
                </c:pt>
                <c:pt idx="7">
                  <c:v>Moyen</c:v>
                </c:pt>
              </c:strCache>
            </c:strRef>
          </c:cat>
          <c:val>
            <c:numRef>
              <c:f>Aperçu!$G$5:$G$12</c:f>
              <c:numCache>
                <c:formatCode>0.00</c:formatCode>
                <c:ptCount val="8"/>
                <c:pt idx="0">
                  <c:v>0</c:v>
                </c:pt>
                <c:pt idx="1">
                  <c:v>0</c:v>
                </c:pt>
                <c:pt idx="2">
                  <c:v>0</c:v>
                </c:pt>
                <c:pt idx="3">
                  <c:v>0</c:v>
                </c:pt>
                <c:pt idx="4">
                  <c:v>0</c:v>
                </c:pt>
                <c:pt idx="5">
                  <c:v>0</c:v>
                </c:pt>
                <c:pt idx="6">
                  <c:v>0</c:v>
                </c:pt>
                <c:pt idx="7">
                  <c:v>0</c:v>
                </c:pt>
              </c:numCache>
            </c:numRef>
          </c:val>
        </c:ser>
        <c:ser>
          <c:idx val="0"/>
          <c:order val="1"/>
          <c:tx>
            <c:v>Consensus Score</c:v>
          </c:tx>
          <c:spPr>
            <a:solidFill>
              <a:srgbClr val="9999FF"/>
            </a:solidFill>
            <a:ln w="12700">
              <a:solidFill>
                <a:srgbClr val="000000"/>
              </a:solidFill>
              <a:prstDash val="solid"/>
            </a:ln>
          </c:spPr>
          <c:invertIfNegative val="0"/>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Aperçu!$C$38:$C$45</c:f>
              <c:strCache>
                <c:ptCount val="8"/>
                <c:pt idx="0">
                  <c:v>GRH</c:v>
                </c:pt>
                <c:pt idx="1">
                  <c:v>GRF</c:v>
                </c:pt>
                <c:pt idx="2">
                  <c:v>PartEq</c:v>
                </c:pt>
                <c:pt idx="3">
                  <c:v>Dur</c:v>
                </c:pt>
                <c:pt idx="4">
                  <c:v>Partn</c:v>
                </c:pt>
                <c:pt idx="5">
                  <c:v>AppOrg</c:v>
                </c:pt>
                <c:pt idx="6">
                  <c:v>Gouv</c:v>
                </c:pt>
                <c:pt idx="7">
                  <c:v>Moyen</c:v>
                </c:pt>
              </c:strCache>
            </c:strRef>
          </c:cat>
          <c:val>
            <c:numRef>
              <c:f>Aperçu!$H$5:$H$12</c:f>
              <c:numCache>
                <c:formatCode>0.00</c:formatCode>
                <c:ptCount val="8"/>
                <c:pt idx="0">
                  <c:v>100</c:v>
                </c:pt>
                <c:pt idx="1">
                  <c:v>100</c:v>
                </c:pt>
                <c:pt idx="2">
                  <c:v>100</c:v>
                </c:pt>
                <c:pt idx="3">
                  <c:v>100</c:v>
                </c:pt>
                <c:pt idx="4">
                  <c:v>100</c:v>
                </c:pt>
                <c:pt idx="5">
                  <c:v>100</c:v>
                </c:pt>
                <c:pt idx="6">
                  <c:v>100</c:v>
                </c:pt>
                <c:pt idx="7">
                  <c:v>100</c:v>
                </c:pt>
              </c:numCache>
            </c:numRef>
          </c:val>
        </c:ser>
        <c:dLbls>
          <c:showLegendKey val="0"/>
          <c:showVal val="0"/>
          <c:showCatName val="0"/>
          <c:showSerName val="0"/>
          <c:showPercent val="0"/>
          <c:showBubbleSize val="0"/>
        </c:dLbls>
        <c:gapWidth val="150"/>
        <c:axId val="125770752"/>
        <c:axId val="126225792"/>
      </c:barChart>
      <c:lineChart>
        <c:grouping val="standard"/>
        <c:varyColors val="0"/>
        <c:ser>
          <c:idx val="2"/>
          <c:order val="2"/>
          <c:tx>
            <c:v>Cohort Cap Mean</c:v>
          </c:tx>
          <c:spPr>
            <a:ln w="25400">
              <a:solidFill>
                <a:srgbClr val="800000"/>
              </a:solidFill>
              <a:prstDash val="solid"/>
            </a:ln>
          </c:spPr>
          <c:marker>
            <c:symbol val="triangle"/>
            <c:size val="3"/>
            <c:spPr>
              <a:solidFill>
                <a:srgbClr val="800000"/>
              </a:solidFill>
              <a:ln>
                <a:solidFill>
                  <a:srgbClr val="800000"/>
                </a:solidFill>
                <a:prstDash val="solid"/>
              </a:ln>
            </c:spPr>
          </c:marker>
          <c:val>
            <c:numRef>
              <c:f>Aperçu!$A$38:$A$45</c:f>
              <c:numCache>
                <c:formatCode>General</c:formatCode>
                <c:ptCount val="8"/>
                <c:pt idx="0">
                  <c:v>0</c:v>
                </c:pt>
                <c:pt idx="1">
                  <c:v>0</c:v>
                </c:pt>
                <c:pt idx="2">
                  <c:v>0</c:v>
                </c:pt>
                <c:pt idx="3">
                  <c:v>0</c:v>
                </c:pt>
                <c:pt idx="4">
                  <c:v>0</c:v>
                </c:pt>
                <c:pt idx="5">
                  <c:v>0</c:v>
                </c:pt>
                <c:pt idx="6">
                  <c:v>0</c:v>
                </c:pt>
                <c:pt idx="7" formatCode="0">
                  <c:v>0</c:v>
                </c:pt>
              </c:numCache>
            </c:numRef>
          </c:val>
          <c:smooth val="0"/>
        </c:ser>
        <c:ser>
          <c:idx val="3"/>
          <c:order val="3"/>
          <c:tx>
            <c:v>Cohort Cons Mean</c:v>
          </c:tx>
          <c:spPr>
            <a:ln w="25400">
              <a:pattFill prst="pct75">
                <a:fgClr>
                  <a:srgbClr val="0000FF"/>
                </a:fgClr>
                <a:bgClr>
                  <a:srgbClr val="FFFFFF"/>
                </a:bgClr>
              </a:pattFill>
              <a:prstDash val="solid"/>
            </a:ln>
          </c:spPr>
          <c:marker>
            <c:symbol val="x"/>
            <c:size val="3"/>
            <c:spPr>
              <a:solidFill>
                <a:srgbClr val="0000FF"/>
              </a:solidFill>
              <a:ln>
                <a:solidFill>
                  <a:srgbClr val="0000FF"/>
                </a:solidFill>
                <a:prstDash val="solid"/>
              </a:ln>
            </c:spPr>
          </c:marker>
          <c:val>
            <c:numRef>
              <c:f>Aperçu!$B$38:$B$45</c:f>
              <c:numCache>
                <c:formatCode>General</c:formatCode>
                <c:ptCount val="8"/>
                <c:pt idx="0">
                  <c:v>0</c:v>
                </c:pt>
                <c:pt idx="1">
                  <c:v>0</c:v>
                </c:pt>
                <c:pt idx="2">
                  <c:v>0</c:v>
                </c:pt>
                <c:pt idx="3">
                  <c:v>0</c:v>
                </c:pt>
                <c:pt idx="4">
                  <c:v>0</c:v>
                </c:pt>
                <c:pt idx="5">
                  <c:v>0</c:v>
                </c:pt>
                <c:pt idx="6">
                  <c:v>0</c:v>
                </c:pt>
                <c:pt idx="7" formatCode="0">
                  <c:v>0</c:v>
                </c:pt>
              </c:numCache>
            </c:numRef>
          </c:val>
          <c:smooth val="0"/>
        </c:ser>
        <c:dLbls>
          <c:showLegendKey val="0"/>
          <c:showVal val="0"/>
          <c:showCatName val="0"/>
          <c:showSerName val="0"/>
          <c:showPercent val="0"/>
          <c:showBubbleSize val="0"/>
        </c:dLbls>
        <c:marker val="1"/>
        <c:smooth val="0"/>
        <c:axId val="130747776"/>
        <c:axId val="158972544"/>
      </c:lineChart>
      <c:catAx>
        <c:axId val="1257707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fr-FR"/>
                  <a:t>Domaine de competence</a:t>
                </a:r>
              </a:p>
            </c:rich>
          </c:tx>
          <c:layout>
            <c:manualLayout>
              <c:xMode val="edge"/>
              <c:yMode val="edge"/>
              <c:x val="0.38268833912390665"/>
              <c:y val="0.874172185430463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2700000" vert="horz"/>
          <a:lstStyle/>
          <a:p>
            <a:pPr rtl="0">
              <a:defRPr sz="1000" b="0" i="0" u="none" strike="noStrike" baseline="0">
                <a:solidFill>
                  <a:srgbClr val="000000"/>
                </a:solidFill>
                <a:latin typeface="Arial"/>
                <a:ea typeface="Arial"/>
                <a:cs typeface="Arial"/>
              </a:defRPr>
            </a:pPr>
            <a:endParaRPr lang="fr-FR"/>
          </a:p>
        </c:txPr>
        <c:crossAx val="126225792"/>
        <c:crosses val="autoZero"/>
        <c:auto val="0"/>
        <c:lblAlgn val="ctr"/>
        <c:lblOffset val="100"/>
        <c:tickLblSkip val="1"/>
        <c:tickMarkSkip val="1"/>
        <c:noMultiLvlLbl val="0"/>
      </c:catAx>
      <c:valAx>
        <c:axId val="126225792"/>
        <c:scaling>
          <c:orientation val="minMax"/>
          <c:max val="100"/>
          <c:min val="2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fr-FR"/>
                  <a:t>Note moyenne graduee</a:t>
                </a:r>
              </a:p>
            </c:rich>
          </c:tx>
          <c:layout>
            <c:manualLayout>
              <c:xMode val="edge"/>
              <c:yMode val="edge"/>
              <c:x val="3.6446508487991108E-2"/>
              <c:y val="0.3741721854304636"/>
            </c:manualLayout>
          </c:layout>
          <c:overlay val="0"/>
          <c:spPr>
            <a:noFill/>
            <a:ln w="25400">
              <a:noFill/>
            </a:ln>
          </c:spPr>
        </c:title>
        <c:numFmt formatCode="0.00" sourceLinked="1"/>
        <c:majorTickMark val="cross"/>
        <c:minorTickMark val="none"/>
        <c:tickLblPos val="nextTo"/>
        <c:spPr>
          <a:ln w="3175">
            <a:solidFill>
              <a:srgbClr val="000000"/>
            </a:solidFill>
            <a:prstDash val="solid"/>
          </a:ln>
        </c:spPr>
        <c:txPr>
          <a:bodyPr rot="0" vert="horz"/>
          <a:lstStyle/>
          <a:p>
            <a:pPr rtl="0">
              <a:defRPr sz="1000" b="0" i="0" u="none" strike="noStrike" baseline="0">
                <a:solidFill>
                  <a:srgbClr val="000000"/>
                </a:solidFill>
                <a:latin typeface="Arial"/>
                <a:ea typeface="Arial"/>
                <a:cs typeface="Arial"/>
              </a:defRPr>
            </a:pPr>
            <a:endParaRPr lang="fr-FR"/>
          </a:p>
        </c:txPr>
        <c:crossAx val="125770752"/>
        <c:crosses val="autoZero"/>
        <c:crossBetween val="between"/>
        <c:majorUnit val="20"/>
      </c:valAx>
      <c:catAx>
        <c:axId val="130747776"/>
        <c:scaling>
          <c:orientation val="minMax"/>
        </c:scaling>
        <c:delete val="1"/>
        <c:axPos val="b"/>
        <c:majorTickMark val="out"/>
        <c:minorTickMark val="none"/>
        <c:tickLblPos val="nextTo"/>
        <c:crossAx val="158972544"/>
        <c:crosses val="autoZero"/>
        <c:auto val="0"/>
        <c:lblAlgn val="ctr"/>
        <c:lblOffset val="100"/>
        <c:noMultiLvlLbl val="0"/>
      </c:catAx>
      <c:valAx>
        <c:axId val="158972544"/>
        <c:scaling>
          <c:orientation val="minMax"/>
          <c:max val="100"/>
          <c:min val="20"/>
        </c:scaling>
        <c:delete val="0"/>
        <c:axPos val="r"/>
        <c:numFmt formatCode="General" sourceLinked="1"/>
        <c:majorTickMark val="cross"/>
        <c:minorTickMark val="none"/>
        <c:tickLblPos val="nextTo"/>
        <c:spPr>
          <a:ln w="3175">
            <a:solidFill>
              <a:srgbClr val="000000"/>
            </a:solidFill>
            <a:prstDash val="solid"/>
          </a:ln>
        </c:spPr>
        <c:txPr>
          <a:bodyPr rot="0" vert="horz"/>
          <a:lstStyle/>
          <a:p>
            <a:pPr rtl="0">
              <a:defRPr sz="1000" b="0" i="0" u="none" strike="noStrike" baseline="0">
                <a:solidFill>
                  <a:srgbClr val="000000"/>
                </a:solidFill>
                <a:latin typeface="Arial"/>
                <a:ea typeface="Arial"/>
                <a:cs typeface="Arial"/>
              </a:defRPr>
            </a:pPr>
            <a:endParaRPr lang="fr-FR"/>
          </a:p>
        </c:txPr>
        <c:crossAx val="130747776"/>
        <c:crosses val="max"/>
        <c:crossBetween val="between"/>
      </c:valAx>
      <c:spPr>
        <a:solidFill>
          <a:srgbClr val="C0C0C0"/>
        </a:solidFill>
        <a:ln w="12700">
          <a:solidFill>
            <a:srgbClr val="808080"/>
          </a:solidFill>
          <a:prstDash val="solid"/>
        </a:ln>
      </c:spPr>
    </c:plotArea>
    <c:legend>
      <c:legendPos val="t"/>
      <c:layout>
        <c:manualLayout>
          <c:xMode val="edge"/>
          <c:yMode val="edge"/>
          <c:x val="0.14578603395196443"/>
          <c:y val="0.16225165562913907"/>
          <c:w val="0.70615104375811122"/>
          <c:h val="0.1490066225165562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0.984251969" l="0.78740157499999996" r="0.78740157499999996" t="0.984251969"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Gestion des Ressources Humaines</a:t>
            </a:r>
          </a:p>
        </c:rich>
      </c:tx>
      <c:layout>
        <c:manualLayout>
          <c:xMode val="edge"/>
          <c:yMode val="edge"/>
          <c:x val="6.7708333333333329E-2"/>
          <c:y val="3.3669898405556453E-2"/>
        </c:manualLayout>
      </c:layout>
      <c:overlay val="0"/>
      <c:spPr>
        <a:noFill/>
        <a:ln w="25400">
          <a:noFill/>
        </a:ln>
      </c:spPr>
    </c:title>
    <c:autoTitleDeleted val="0"/>
    <c:plotArea>
      <c:layout>
        <c:manualLayout>
          <c:layoutTarget val="inner"/>
          <c:xMode val="edge"/>
          <c:yMode val="edge"/>
          <c:x val="0.12708333333333333"/>
          <c:y val="0.15656565656565657"/>
          <c:w val="0.86250000000000004"/>
          <c:h val="0.57239057239057234"/>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GRH!$Y$12:$Y$24</c:f>
              <c:strCache>
                <c:ptCount val="10"/>
                <c:pt idx="0">
                  <c:v>1. Formation des membres</c:v>
                </c:pt>
                <c:pt idx="1">
                  <c:v>2. Effet de la Formation</c:v>
                </c:pt>
                <c:pt idx="2">
                  <c:v>3. Compétences des membres</c:v>
                </c:pt>
                <c:pt idx="3">
                  <c:v>4. Effectif</c:v>
                </c:pt>
                <c:pt idx="4">
                  <c:v>5. Adhésion </c:v>
                </c:pt>
                <c:pt idx="5">
                  <c:v>6. Motivation</c:v>
                </c:pt>
                <c:pt idx="6">
                  <c:v>7. Evaluation des membres</c:v>
                </c:pt>
                <c:pt idx="7">
                  <c:v>8. Résolution des conflits</c:v>
                </c:pt>
                <c:pt idx="8">
                  <c:v>9. Dotation en personnel</c:v>
                </c:pt>
                <c:pt idx="9">
                  <c:v>10. Supervision</c:v>
                </c:pt>
              </c:strCache>
            </c:strRef>
          </c:cat>
          <c:val>
            <c:numRef>
              <c:f>GRH!$W$12:$W$24</c:f>
              <c:numCache>
                <c:formatCode>0</c:formatCode>
                <c:ptCount val="13"/>
                <c:pt idx="0">
                  <c:v>0</c:v>
                </c:pt>
                <c:pt idx="1">
                  <c:v>0</c:v>
                </c:pt>
                <c:pt idx="2">
                  <c:v>0</c:v>
                </c:pt>
                <c:pt idx="3">
                  <c:v>0</c:v>
                </c:pt>
                <c:pt idx="4">
                  <c:v>0</c:v>
                </c:pt>
                <c:pt idx="5">
                  <c:v>0</c:v>
                </c:pt>
                <c:pt idx="6">
                  <c:v>0</c:v>
                </c:pt>
                <c:pt idx="7">
                  <c:v>0</c:v>
                </c:pt>
                <c:pt idx="8">
                  <c:v>0</c:v>
                </c:pt>
                <c:pt idx="9">
                  <c:v>0</c:v>
                </c:pt>
              </c:numCache>
            </c:numRef>
          </c:val>
        </c:ser>
        <c:ser>
          <c:idx val="1"/>
          <c:order val="1"/>
          <c:tx>
            <c:v>Consensus Score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GRH!$Y$12:$Y$24</c:f>
              <c:strCache>
                <c:ptCount val="10"/>
                <c:pt idx="0">
                  <c:v>1. Formation des membres</c:v>
                </c:pt>
                <c:pt idx="1">
                  <c:v>2. Effet de la Formation</c:v>
                </c:pt>
                <c:pt idx="2">
                  <c:v>3. Compétences des membres</c:v>
                </c:pt>
                <c:pt idx="3">
                  <c:v>4. Effectif</c:v>
                </c:pt>
                <c:pt idx="4">
                  <c:v>5. Adhésion </c:v>
                </c:pt>
                <c:pt idx="5">
                  <c:v>6. Motivation</c:v>
                </c:pt>
                <c:pt idx="6">
                  <c:v>7. Evaluation des membres</c:v>
                </c:pt>
                <c:pt idx="7">
                  <c:v>8. Résolution des conflits</c:v>
                </c:pt>
                <c:pt idx="8">
                  <c:v>9. Dotation en personnel</c:v>
                </c:pt>
                <c:pt idx="9">
                  <c:v>10. Supervision</c:v>
                </c:pt>
              </c:strCache>
            </c:strRef>
          </c:cat>
          <c:val>
            <c:numRef>
              <c:f>GRH!$X$12:$X$24</c:f>
              <c:numCache>
                <c:formatCode>0</c:formatCode>
                <c:ptCount val="13"/>
                <c:pt idx="0">
                  <c:v>100</c:v>
                </c:pt>
                <c:pt idx="1">
                  <c:v>100</c:v>
                </c:pt>
                <c:pt idx="2">
                  <c:v>100</c:v>
                </c:pt>
                <c:pt idx="3">
                  <c:v>100</c:v>
                </c:pt>
                <c:pt idx="4">
                  <c:v>100</c:v>
                </c:pt>
                <c:pt idx="5">
                  <c:v>100</c:v>
                </c:pt>
                <c:pt idx="6">
                  <c:v>100</c:v>
                </c:pt>
                <c:pt idx="7">
                  <c:v>100</c:v>
                </c:pt>
                <c:pt idx="8">
                  <c:v>100</c:v>
                </c:pt>
                <c:pt idx="9">
                  <c:v>100</c:v>
                </c:pt>
              </c:numCache>
            </c:numRef>
          </c:val>
        </c:ser>
        <c:dLbls>
          <c:showLegendKey val="0"/>
          <c:showVal val="0"/>
          <c:showCatName val="0"/>
          <c:showSerName val="0"/>
          <c:showPercent val="0"/>
          <c:showBubbleSize val="0"/>
        </c:dLbls>
        <c:gapWidth val="150"/>
        <c:axId val="38433920"/>
        <c:axId val="38435456"/>
      </c:barChart>
      <c:catAx>
        <c:axId val="3843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rtl="0">
              <a:defRPr sz="1000" b="0" i="0" u="none" strike="noStrike" baseline="0">
                <a:solidFill>
                  <a:srgbClr val="000000"/>
                </a:solidFill>
                <a:latin typeface="Arial"/>
                <a:ea typeface="Arial"/>
                <a:cs typeface="Arial"/>
              </a:defRPr>
            </a:pPr>
            <a:endParaRPr lang="fr-FR"/>
          </a:p>
        </c:txPr>
        <c:crossAx val="38435456"/>
        <c:crosses val="autoZero"/>
        <c:auto val="1"/>
        <c:lblAlgn val="ctr"/>
        <c:lblOffset val="100"/>
        <c:tickLblSkip val="1"/>
        <c:tickMarkSkip val="1"/>
        <c:noMultiLvlLbl val="0"/>
      </c:catAx>
      <c:valAx>
        <c:axId val="38435456"/>
        <c:scaling>
          <c:orientation val="minMax"/>
          <c:max val="100"/>
          <c:min val="20"/>
        </c:scaling>
        <c:delete val="0"/>
        <c:axPos val="l"/>
        <c:majorGridlines>
          <c:spPr>
            <a:ln w="3175">
              <a:solidFill>
                <a:srgbClr val="FFFFFF"/>
              </a:solidFill>
              <a:prstDash val="solid"/>
            </a:ln>
          </c:spPr>
        </c:majorGridlines>
        <c:title>
          <c:tx>
            <c:rich>
              <a:bodyPr/>
              <a:lstStyle/>
              <a:p>
                <a:pPr>
                  <a:defRPr sz="1000" b="1" i="0" u="none" strike="noStrike" baseline="0">
                    <a:solidFill>
                      <a:srgbClr val="000000"/>
                    </a:solidFill>
                    <a:latin typeface="Arial"/>
                    <a:ea typeface="Arial"/>
                    <a:cs typeface="Arial"/>
                  </a:defRPr>
                </a:pPr>
                <a:r>
                  <a:t>note</a:t>
                </a:r>
              </a:p>
            </c:rich>
          </c:tx>
          <c:layout>
            <c:manualLayout>
              <c:xMode val="edge"/>
              <c:yMode val="edge"/>
              <c:x val="7.2916666666666668E-3"/>
              <c:y val="0.415824807613334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rtl="0">
              <a:defRPr sz="1000" b="0" i="0" u="none" strike="noStrike" baseline="0">
                <a:solidFill>
                  <a:srgbClr val="000000"/>
                </a:solidFill>
                <a:latin typeface="Arial"/>
                <a:ea typeface="Arial"/>
                <a:cs typeface="Arial"/>
              </a:defRPr>
            </a:pPr>
            <a:endParaRPr lang="fr-FR"/>
          </a:p>
        </c:txPr>
        <c:crossAx val="38433920"/>
        <c:crosses val="autoZero"/>
        <c:crossBetween val="between"/>
        <c:majorUnit val="20"/>
        <c:minorUnit val="10"/>
      </c:valAx>
      <c:spPr>
        <a:solidFill>
          <a:srgbClr val="C0C0C0"/>
        </a:solidFill>
        <a:ln w="12700">
          <a:solidFill>
            <a:srgbClr val="808080"/>
          </a:solidFill>
          <a:prstDash val="solid"/>
        </a:ln>
      </c:spPr>
    </c:plotArea>
    <c:legend>
      <c:legendPos val="r"/>
      <c:layout>
        <c:manualLayout>
          <c:xMode val="edge"/>
          <c:yMode val="edge"/>
          <c:wMode val="edge"/>
          <c:hMode val="edge"/>
          <c:x val="2.0833333333333332E-2"/>
          <c:y val="0.20202028317888837"/>
          <c:w val="0.30937500000000001"/>
          <c:h val="0.24242433981466605"/>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t>Total des Notes</a:t>
            </a:r>
          </a:p>
        </c:rich>
      </c:tx>
      <c:layout>
        <c:manualLayout>
          <c:xMode val="edge"/>
          <c:yMode val="edge"/>
          <c:x val="0.30000019088523022"/>
          <c:y val="5.2630937261874525E-2"/>
        </c:manualLayout>
      </c:layout>
      <c:overlay val="0"/>
      <c:spPr>
        <a:noFill/>
        <a:ln w="25400">
          <a:noFill/>
        </a:ln>
      </c:spPr>
    </c:title>
    <c:autoTitleDeleted val="0"/>
    <c:plotArea>
      <c:layout>
        <c:manualLayout>
          <c:layoutTarget val="inner"/>
          <c:xMode val="edge"/>
          <c:yMode val="edge"/>
          <c:x val="5.3571521992749012E-2"/>
          <c:y val="0.29605263157894735"/>
          <c:w val="0.89643013467866683"/>
          <c:h val="0.46052631578947367"/>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lgn="ctr" rtl="0">
                  <a:defRPr sz="115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GRH!$A$4</c:f>
              <c:numCache>
                <c:formatCode>0.00</c:formatCode>
                <c:ptCount val="1"/>
                <c:pt idx="0">
                  <c:v>0</c:v>
                </c:pt>
              </c:numCache>
            </c:numRef>
          </c:val>
        </c:ser>
        <c:ser>
          <c:idx val="1"/>
          <c:order val="1"/>
          <c:spPr>
            <a:solidFill>
              <a:srgbClr val="993366"/>
            </a:solidFill>
            <a:ln w="12700">
              <a:solidFill>
                <a:srgbClr val="000000"/>
              </a:solidFill>
              <a:prstDash val="solid"/>
            </a:ln>
          </c:spPr>
          <c:invertIfNegative val="0"/>
          <c:dLbls>
            <c:dLbl>
              <c:idx val="0"/>
              <c:spPr>
                <a:noFill/>
                <a:ln w="25400">
                  <a:noFill/>
                </a:ln>
              </c:spPr>
              <c:txPr>
                <a:bodyPr/>
                <a:lstStyle/>
                <a:p>
                  <a:pPr>
                    <a:defRPr sz="115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dLbl>
            <c:spPr>
              <a:noFill/>
              <a:ln w="25400">
                <a:noFill/>
              </a:ln>
            </c:spPr>
            <c:txPr>
              <a:bodyPr/>
              <a:lstStyle/>
              <a:p>
                <a:pPr>
                  <a:defRPr sz="5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GRH!$A$5</c:f>
              <c:numCache>
                <c:formatCode>0.00</c:formatCode>
                <c:ptCount val="1"/>
                <c:pt idx="0">
                  <c:v>100</c:v>
                </c:pt>
              </c:numCache>
            </c:numRef>
          </c:val>
        </c:ser>
        <c:dLbls>
          <c:showLegendKey val="0"/>
          <c:showVal val="0"/>
          <c:showCatName val="0"/>
          <c:showSerName val="0"/>
          <c:showPercent val="0"/>
          <c:showBubbleSize val="0"/>
        </c:dLbls>
        <c:gapWidth val="150"/>
        <c:axId val="38446208"/>
        <c:axId val="38448128"/>
      </c:barChart>
      <c:catAx>
        <c:axId val="38446208"/>
        <c:scaling>
          <c:orientation val="minMax"/>
        </c:scaling>
        <c:delete val="1"/>
        <c:axPos val="b"/>
        <c:title>
          <c:tx>
            <c:rich>
              <a:bodyPr/>
              <a:lstStyle/>
              <a:p>
                <a:pPr>
                  <a:defRPr sz="925" b="1" i="0" u="none" strike="noStrike" baseline="0">
                    <a:solidFill>
                      <a:srgbClr val="000000"/>
                    </a:solidFill>
                    <a:latin typeface="Arial"/>
                    <a:ea typeface="Arial"/>
                    <a:cs typeface="Arial"/>
                  </a:defRPr>
                </a:pPr>
                <a:r>
                  <a:t>Note Capacite   Note Consensus</a:t>
                </a:r>
              </a:p>
            </c:rich>
          </c:tx>
          <c:layout>
            <c:manualLayout>
              <c:xMode val="edge"/>
              <c:yMode val="edge"/>
              <c:x val="0.17142868050584587"/>
              <c:y val="0.75657810515621038"/>
            </c:manualLayout>
          </c:layout>
          <c:overlay val="0"/>
          <c:spPr>
            <a:noFill/>
            <a:ln w="25400">
              <a:noFill/>
            </a:ln>
          </c:spPr>
        </c:title>
        <c:majorTickMark val="out"/>
        <c:minorTickMark val="none"/>
        <c:tickLblPos val="nextTo"/>
        <c:crossAx val="38448128"/>
        <c:crosses val="autoZero"/>
        <c:auto val="1"/>
        <c:lblAlgn val="ctr"/>
        <c:lblOffset val="100"/>
        <c:noMultiLvlLbl val="0"/>
      </c:catAx>
      <c:valAx>
        <c:axId val="38448128"/>
        <c:scaling>
          <c:orientation val="minMax"/>
        </c:scaling>
        <c:delete val="1"/>
        <c:axPos val="l"/>
        <c:numFmt formatCode="0.00" sourceLinked="1"/>
        <c:majorTickMark val="out"/>
        <c:minorTickMark val="none"/>
        <c:tickLblPos val="nextTo"/>
        <c:crossAx val="3844620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Gestion des Ressources Financieres</a:t>
            </a:r>
          </a:p>
        </c:rich>
      </c:tx>
      <c:layout>
        <c:manualLayout>
          <c:xMode val="edge"/>
          <c:yMode val="edge"/>
          <c:x val="0.14270833333333333"/>
          <c:y val="2.8619458282000462E-2"/>
        </c:manualLayout>
      </c:layout>
      <c:overlay val="0"/>
      <c:spPr>
        <a:noFill/>
        <a:ln w="25400">
          <a:noFill/>
        </a:ln>
      </c:spPr>
    </c:title>
    <c:autoTitleDeleted val="0"/>
    <c:plotArea>
      <c:layout>
        <c:manualLayout>
          <c:layoutTarget val="inner"/>
          <c:xMode val="edge"/>
          <c:yMode val="edge"/>
          <c:x val="0.13020833333333334"/>
          <c:y val="0.15824915824915825"/>
          <c:w val="0.859375"/>
          <c:h val="0.55892255892255893"/>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GRF!$Y$12:$Y$27</c:f>
              <c:strCache>
                <c:ptCount val="10"/>
                <c:pt idx="0">
                  <c:v>11. Budgétisation </c:v>
                </c:pt>
                <c:pt idx="1">
                  <c:v>12. Prévisions exactes</c:v>
                </c:pt>
                <c:pt idx="2">
                  <c:v>13. Modification des dépenses</c:v>
                </c:pt>
                <c:pt idx="3">
                  <c:v>14. Mesures de contingence</c:v>
                </c:pt>
                <c:pt idx="4">
                  <c:v>15. Gestion de liquidité</c:v>
                </c:pt>
                <c:pt idx="5">
                  <c:v>16. Financement privé</c:v>
                </c:pt>
                <c:pt idx="6">
                  <c:v>17. Financement public</c:v>
                </c:pt>
                <c:pt idx="7">
                  <c:v>18. Financement de PTF</c:v>
                </c:pt>
                <c:pt idx="8">
                  <c:v>19. Autonomie </c:v>
                </c:pt>
                <c:pt idx="9">
                  <c:v>20. Niveau actuel des ressources</c:v>
                </c:pt>
              </c:strCache>
            </c:strRef>
          </c:cat>
          <c:val>
            <c:numRef>
              <c:f>GRF!$W$12:$W$27</c:f>
              <c:numCache>
                <c:formatCode>0</c:formatCode>
                <c:ptCount val="16"/>
                <c:pt idx="0">
                  <c:v>0</c:v>
                </c:pt>
                <c:pt idx="1">
                  <c:v>0</c:v>
                </c:pt>
                <c:pt idx="2">
                  <c:v>0</c:v>
                </c:pt>
                <c:pt idx="3">
                  <c:v>0</c:v>
                </c:pt>
                <c:pt idx="4">
                  <c:v>0</c:v>
                </c:pt>
                <c:pt idx="5">
                  <c:v>0</c:v>
                </c:pt>
                <c:pt idx="6">
                  <c:v>0</c:v>
                </c:pt>
                <c:pt idx="7">
                  <c:v>0</c:v>
                </c:pt>
                <c:pt idx="8">
                  <c:v>0</c:v>
                </c:pt>
                <c:pt idx="9">
                  <c:v>0</c:v>
                </c:pt>
              </c:numCache>
            </c:numRef>
          </c:val>
        </c:ser>
        <c:ser>
          <c:idx val="1"/>
          <c:order val="1"/>
          <c:tx>
            <c:v>Consensus Score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GRF!$Y$12:$Y$27</c:f>
              <c:strCache>
                <c:ptCount val="10"/>
                <c:pt idx="0">
                  <c:v>11. Budgétisation </c:v>
                </c:pt>
                <c:pt idx="1">
                  <c:v>12. Prévisions exactes</c:v>
                </c:pt>
                <c:pt idx="2">
                  <c:v>13. Modification des dépenses</c:v>
                </c:pt>
                <c:pt idx="3">
                  <c:v>14. Mesures de contingence</c:v>
                </c:pt>
                <c:pt idx="4">
                  <c:v>15. Gestion de liquidité</c:v>
                </c:pt>
                <c:pt idx="5">
                  <c:v>16. Financement privé</c:v>
                </c:pt>
                <c:pt idx="6">
                  <c:v>17. Financement public</c:v>
                </c:pt>
                <c:pt idx="7">
                  <c:v>18. Financement de PTF</c:v>
                </c:pt>
                <c:pt idx="8">
                  <c:v>19. Autonomie </c:v>
                </c:pt>
                <c:pt idx="9">
                  <c:v>20. Niveau actuel des ressources</c:v>
                </c:pt>
              </c:strCache>
            </c:strRef>
          </c:cat>
          <c:val>
            <c:numRef>
              <c:f>GRF!$X$12:$X$27</c:f>
              <c:numCache>
                <c:formatCode>0</c:formatCode>
                <c:ptCount val="16"/>
                <c:pt idx="0">
                  <c:v>100</c:v>
                </c:pt>
                <c:pt idx="1">
                  <c:v>100</c:v>
                </c:pt>
                <c:pt idx="2">
                  <c:v>100</c:v>
                </c:pt>
                <c:pt idx="3">
                  <c:v>100</c:v>
                </c:pt>
                <c:pt idx="4">
                  <c:v>100</c:v>
                </c:pt>
                <c:pt idx="5">
                  <c:v>100</c:v>
                </c:pt>
                <c:pt idx="6">
                  <c:v>100</c:v>
                </c:pt>
                <c:pt idx="7">
                  <c:v>100</c:v>
                </c:pt>
                <c:pt idx="8">
                  <c:v>100</c:v>
                </c:pt>
                <c:pt idx="9">
                  <c:v>100</c:v>
                </c:pt>
              </c:numCache>
            </c:numRef>
          </c:val>
        </c:ser>
        <c:dLbls>
          <c:showLegendKey val="0"/>
          <c:showVal val="0"/>
          <c:showCatName val="0"/>
          <c:showSerName val="0"/>
          <c:showPercent val="0"/>
          <c:showBubbleSize val="0"/>
        </c:dLbls>
        <c:gapWidth val="150"/>
        <c:axId val="38519552"/>
        <c:axId val="38521088"/>
      </c:barChart>
      <c:catAx>
        <c:axId val="38519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rtl="0">
              <a:defRPr sz="1000" b="0" i="0" u="none" strike="noStrike" baseline="0">
                <a:solidFill>
                  <a:srgbClr val="000000"/>
                </a:solidFill>
                <a:latin typeface="Arial"/>
                <a:ea typeface="Arial"/>
                <a:cs typeface="Arial"/>
              </a:defRPr>
            </a:pPr>
            <a:endParaRPr lang="fr-FR"/>
          </a:p>
        </c:txPr>
        <c:crossAx val="38521088"/>
        <c:crosses val="autoZero"/>
        <c:auto val="1"/>
        <c:lblAlgn val="ctr"/>
        <c:lblOffset val="100"/>
        <c:tickLblSkip val="1"/>
        <c:tickMarkSkip val="1"/>
        <c:noMultiLvlLbl val="0"/>
      </c:catAx>
      <c:valAx>
        <c:axId val="38521088"/>
        <c:scaling>
          <c:orientation val="minMax"/>
          <c:max val="100"/>
          <c:min val="20"/>
        </c:scaling>
        <c:delete val="0"/>
        <c:axPos val="l"/>
        <c:majorGridlines>
          <c:spPr>
            <a:ln w="3175">
              <a:solidFill>
                <a:srgbClr val="FFFFFF"/>
              </a:solidFill>
              <a:prstDash val="solid"/>
            </a:ln>
          </c:spPr>
        </c:majorGridlines>
        <c:title>
          <c:tx>
            <c:rich>
              <a:bodyPr/>
              <a:lstStyle/>
              <a:p>
                <a:pPr>
                  <a:defRPr sz="1000" b="1" i="0" u="none" strike="noStrike" baseline="0">
                    <a:solidFill>
                      <a:srgbClr val="000000"/>
                    </a:solidFill>
                    <a:latin typeface="Arial"/>
                    <a:ea typeface="Arial"/>
                    <a:cs typeface="Arial"/>
                  </a:defRPr>
                </a:pPr>
                <a:r>
                  <a:t>Note</a:t>
                </a:r>
              </a:p>
            </c:rich>
          </c:tx>
          <c:layout>
            <c:manualLayout>
              <c:xMode val="edge"/>
              <c:yMode val="edge"/>
              <c:x val="7.2916666666666668E-3"/>
              <c:y val="0.4107743674897780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rtl="0">
              <a:defRPr sz="1000" b="0" i="0" u="none" strike="noStrike" baseline="0">
                <a:solidFill>
                  <a:srgbClr val="000000"/>
                </a:solidFill>
                <a:latin typeface="Arial"/>
                <a:ea typeface="Arial"/>
                <a:cs typeface="Arial"/>
              </a:defRPr>
            </a:pPr>
            <a:endParaRPr lang="fr-FR"/>
          </a:p>
        </c:txPr>
        <c:crossAx val="38519552"/>
        <c:crosses val="autoZero"/>
        <c:crossBetween val="between"/>
        <c:majorUnit val="20"/>
        <c:minorUnit val="10"/>
      </c:valAx>
      <c:spPr>
        <a:solidFill>
          <a:srgbClr val="C0C0C0"/>
        </a:solidFill>
        <a:ln w="12700">
          <a:solidFill>
            <a:srgbClr val="808080"/>
          </a:solidFill>
          <a:prstDash val="solid"/>
        </a:ln>
      </c:spPr>
    </c:plotArea>
    <c:legend>
      <c:legendPos val="r"/>
      <c:layout>
        <c:manualLayout>
          <c:xMode val="edge"/>
          <c:yMode val="edge"/>
          <c:wMode val="edge"/>
          <c:hMode val="edge"/>
          <c:x val="0"/>
          <c:y val="0.20538718374488904"/>
          <c:w val="0.296875"/>
          <c:h val="0.24579124038066671"/>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t>Total des Notes</a:t>
            </a:r>
          </a:p>
        </c:rich>
      </c:tx>
      <c:layout>
        <c:manualLayout>
          <c:xMode val="edge"/>
          <c:yMode val="edge"/>
          <c:x val="0.30536928851635481"/>
          <c:y val="5.4423647863689167E-2"/>
        </c:manualLayout>
      </c:layout>
      <c:overlay val="0"/>
      <c:spPr>
        <a:noFill/>
        <a:ln w="25400">
          <a:noFill/>
        </a:ln>
      </c:spPr>
    </c:title>
    <c:autoTitleDeleted val="0"/>
    <c:plotArea>
      <c:layout>
        <c:manualLayout>
          <c:layoutTarget val="inner"/>
          <c:xMode val="edge"/>
          <c:yMode val="edge"/>
          <c:x val="5.0335652946159527E-2"/>
          <c:y val="0.33333554777548213"/>
          <c:w val="0.90268604283446097"/>
          <c:h val="0.29251895008868839"/>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lgn="ctr" rtl="0">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GRF!$A$4</c:f>
              <c:numCache>
                <c:formatCode>0.00</c:formatCode>
                <c:ptCount val="1"/>
                <c:pt idx="0">
                  <c:v>0</c:v>
                </c:pt>
              </c:numCache>
            </c:numRef>
          </c:val>
        </c:ser>
        <c:ser>
          <c:idx val="1"/>
          <c:order val="1"/>
          <c:spPr>
            <a:solidFill>
              <a:srgbClr val="993366"/>
            </a:solidFill>
            <a:ln w="12700">
              <a:solidFill>
                <a:srgbClr val="000000"/>
              </a:solidFill>
              <a:prstDash val="solid"/>
            </a:ln>
          </c:spPr>
          <c:invertIfNegative val="0"/>
          <c:dLbls>
            <c:dLbl>
              <c:idx val="0"/>
              <c:spPr>
                <a:noFill/>
                <a:ln w="25400">
                  <a:noFill/>
                </a:ln>
              </c:spPr>
              <c:txPr>
                <a:bodyPr/>
                <a:lstStyle/>
                <a:p>
                  <a:pPr>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dLbl>
            <c:spPr>
              <a:noFill/>
              <a:ln w="25400">
                <a:noFill/>
              </a:ln>
            </c:spPr>
            <c:txPr>
              <a:bodyPr/>
              <a:lstStyle/>
              <a:p>
                <a:pPr>
                  <a:defRPr sz="47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GRF!$A$5</c:f>
              <c:numCache>
                <c:formatCode>0.00</c:formatCode>
                <c:ptCount val="1"/>
                <c:pt idx="0">
                  <c:v>100</c:v>
                </c:pt>
              </c:numCache>
            </c:numRef>
          </c:val>
        </c:ser>
        <c:dLbls>
          <c:showLegendKey val="0"/>
          <c:showVal val="0"/>
          <c:showCatName val="0"/>
          <c:showSerName val="0"/>
          <c:showPercent val="0"/>
          <c:showBubbleSize val="0"/>
        </c:dLbls>
        <c:gapWidth val="150"/>
        <c:axId val="38871424"/>
        <c:axId val="38873344"/>
      </c:barChart>
      <c:catAx>
        <c:axId val="38871424"/>
        <c:scaling>
          <c:orientation val="minMax"/>
        </c:scaling>
        <c:delete val="1"/>
        <c:axPos val="b"/>
        <c:title>
          <c:tx>
            <c:rich>
              <a:bodyPr/>
              <a:lstStyle/>
              <a:p>
                <a:pPr>
                  <a:defRPr sz="975" b="1" i="0" u="none" strike="noStrike" baseline="0">
                    <a:solidFill>
                      <a:srgbClr val="000000"/>
                    </a:solidFill>
                    <a:latin typeface="Arial"/>
                    <a:ea typeface="Arial"/>
                    <a:cs typeface="Arial"/>
                  </a:defRPr>
                </a:pPr>
                <a:r>
                  <a:t>Notes Capacite  Notes Consensus
</a:t>
                </a:r>
              </a:p>
            </c:rich>
          </c:tx>
          <c:layout>
            <c:manualLayout>
              <c:xMode val="edge"/>
              <c:yMode val="edge"/>
              <c:x val="0.14429543081308385"/>
              <c:y val="0.62585516974312638"/>
            </c:manualLayout>
          </c:layout>
          <c:overlay val="0"/>
          <c:spPr>
            <a:noFill/>
            <a:ln w="25400">
              <a:noFill/>
            </a:ln>
          </c:spPr>
        </c:title>
        <c:majorTickMark val="out"/>
        <c:minorTickMark val="none"/>
        <c:tickLblPos val="nextTo"/>
        <c:crossAx val="38873344"/>
        <c:crosses val="autoZero"/>
        <c:auto val="1"/>
        <c:lblAlgn val="ctr"/>
        <c:lblOffset val="100"/>
        <c:noMultiLvlLbl val="0"/>
      </c:catAx>
      <c:valAx>
        <c:axId val="38873344"/>
        <c:scaling>
          <c:orientation val="minMax"/>
        </c:scaling>
        <c:delete val="1"/>
        <c:axPos val="l"/>
        <c:numFmt formatCode="0.00" sourceLinked="1"/>
        <c:majorTickMark val="out"/>
        <c:minorTickMark val="none"/>
        <c:tickLblPos val="nextTo"/>
        <c:crossAx val="3887142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Participation Equitable</a:t>
            </a:r>
          </a:p>
        </c:rich>
      </c:tx>
      <c:layout>
        <c:manualLayout>
          <c:xMode val="edge"/>
          <c:yMode val="edge"/>
          <c:x val="0.15"/>
          <c:y val="3.3669898405556453E-2"/>
        </c:manualLayout>
      </c:layout>
      <c:overlay val="0"/>
      <c:spPr>
        <a:noFill/>
        <a:ln w="25400">
          <a:noFill/>
        </a:ln>
      </c:spPr>
    </c:title>
    <c:autoTitleDeleted val="0"/>
    <c:plotArea>
      <c:layout>
        <c:manualLayout>
          <c:layoutTarget val="inner"/>
          <c:xMode val="edge"/>
          <c:yMode val="edge"/>
          <c:x val="0.13020833333333334"/>
          <c:y val="0.15824915824915825"/>
          <c:w val="0.859375"/>
          <c:h val="0.51683501683501687"/>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PartEq!$Y$12:$Y$24</c:f>
              <c:strCache>
                <c:ptCount val="10"/>
                <c:pt idx="0">
                  <c:v>21. Evaluation des Besoins</c:v>
                </c:pt>
                <c:pt idx="1">
                  <c:v>22. Conception du Projet</c:v>
                </c:pt>
                <c:pt idx="2">
                  <c:v>23. Mise en œuvre</c:v>
                </c:pt>
                <c:pt idx="3">
                  <c:v>24. Suivi</c:v>
                </c:pt>
                <c:pt idx="4">
                  <c:v>25. Accès Equitable</c:v>
                </c:pt>
                <c:pt idx="5">
                  <c:v>26. Avantage Equitable</c:v>
                </c:pt>
                <c:pt idx="6">
                  <c:v>27. Promotion de l'Equité</c:v>
                </c:pt>
                <c:pt idx="7">
                  <c:v>28. Besoins Changeants</c:v>
                </c:pt>
                <c:pt idx="8">
                  <c:v>29. Compétences du Leadership Local </c:v>
                </c:pt>
                <c:pt idx="9">
                  <c:v>30. Connaissance Locale</c:v>
                </c:pt>
              </c:strCache>
            </c:strRef>
          </c:cat>
          <c:val>
            <c:numRef>
              <c:f>PartEq!$W$12:$W$24</c:f>
              <c:numCache>
                <c:formatCode>0</c:formatCode>
                <c:ptCount val="13"/>
                <c:pt idx="0">
                  <c:v>0</c:v>
                </c:pt>
                <c:pt idx="1">
                  <c:v>0</c:v>
                </c:pt>
                <c:pt idx="2">
                  <c:v>0</c:v>
                </c:pt>
                <c:pt idx="3">
                  <c:v>0</c:v>
                </c:pt>
                <c:pt idx="4">
                  <c:v>0</c:v>
                </c:pt>
                <c:pt idx="5">
                  <c:v>0</c:v>
                </c:pt>
                <c:pt idx="6">
                  <c:v>0</c:v>
                </c:pt>
                <c:pt idx="7">
                  <c:v>0</c:v>
                </c:pt>
                <c:pt idx="8">
                  <c:v>0</c:v>
                </c:pt>
                <c:pt idx="9">
                  <c:v>0</c:v>
                </c:pt>
              </c:numCache>
            </c:numRef>
          </c:val>
        </c:ser>
        <c:ser>
          <c:idx val="1"/>
          <c:order val="1"/>
          <c:tx>
            <c:v>Consensus Score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PartEq!$Y$12:$Y$24</c:f>
              <c:strCache>
                <c:ptCount val="10"/>
                <c:pt idx="0">
                  <c:v>21. Evaluation des Besoins</c:v>
                </c:pt>
                <c:pt idx="1">
                  <c:v>22. Conception du Projet</c:v>
                </c:pt>
                <c:pt idx="2">
                  <c:v>23. Mise en œuvre</c:v>
                </c:pt>
                <c:pt idx="3">
                  <c:v>24. Suivi</c:v>
                </c:pt>
                <c:pt idx="4">
                  <c:v>25. Accès Equitable</c:v>
                </c:pt>
                <c:pt idx="5">
                  <c:v>26. Avantage Equitable</c:v>
                </c:pt>
                <c:pt idx="6">
                  <c:v>27. Promotion de l'Equité</c:v>
                </c:pt>
                <c:pt idx="7">
                  <c:v>28. Besoins Changeants</c:v>
                </c:pt>
                <c:pt idx="8">
                  <c:v>29. Compétences du Leadership Local </c:v>
                </c:pt>
                <c:pt idx="9">
                  <c:v>30. Connaissance Locale</c:v>
                </c:pt>
              </c:strCache>
            </c:strRef>
          </c:cat>
          <c:val>
            <c:numRef>
              <c:f>PartEq!$X$12:$X$24</c:f>
              <c:numCache>
                <c:formatCode>0</c:formatCode>
                <c:ptCount val="13"/>
                <c:pt idx="0">
                  <c:v>100</c:v>
                </c:pt>
                <c:pt idx="1">
                  <c:v>100</c:v>
                </c:pt>
                <c:pt idx="2">
                  <c:v>100</c:v>
                </c:pt>
                <c:pt idx="3">
                  <c:v>100</c:v>
                </c:pt>
                <c:pt idx="4">
                  <c:v>100</c:v>
                </c:pt>
                <c:pt idx="5">
                  <c:v>100</c:v>
                </c:pt>
                <c:pt idx="6">
                  <c:v>100</c:v>
                </c:pt>
                <c:pt idx="7">
                  <c:v>100</c:v>
                </c:pt>
                <c:pt idx="8">
                  <c:v>100</c:v>
                </c:pt>
                <c:pt idx="9">
                  <c:v>100</c:v>
                </c:pt>
              </c:numCache>
            </c:numRef>
          </c:val>
        </c:ser>
        <c:dLbls>
          <c:showLegendKey val="0"/>
          <c:showVal val="0"/>
          <c:showCatName val="0"/>
          <c:showSerName val="0"/>
          <c:showPercent val="0"/>
          <c:showBubbleSize val="0"/>
        </c:dLbls>
        <c:gapWidth val="150"/>
        <c:axId val="38910208"/>
        <c:axId val="38912000"/>
      </c:barChart>
      <c:catAx>
        <c:axId val="38910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rtl="0">
              <a:defRPr sz="1000" b="0" i="0" u="none" strike="noStrike" baseline="0">
                <a:solidFill>
                  <a:srgbClr val="000000"/>
                </a:solidFill>
                <a:latin typeface="Arial"/>
                <a:ea typeface="Arial"/>
                <a:cs typeface="Arial"/>
              </a:defRPr>
            </a:pPr>
            <a:endParaRPr lang="fr-FR"/>
          </a:p>
        </c:txPr>
        <c:crossAx val="38912000"/>
        <c:crosses val="autoZero"/>
        <c:auto val="1"/>
        <c:lblAlgn val="ctr"/>
        <c:lblOffset val="100"/>
        <c:tickLblSkip val="1"/>
        <c:tickMarkSkip val="1"/>
        <c:noMultiLvlLbl val="0"/>
      </c:catAx>
      <c:valAx>
        <c:axId val="38912000"/>
        <c:scaling>
          <c:orientation val="minMax"/>
          <c:max val="100"/>
          <c:min val="20"/>
        </c:scaling>
        <c:delete val="0"/>
        <c:axPos val="l"/>
        <c:majorGridlines>
          <c:spPr>
            <a:ln w="3175">
              <a:solidFill>
                <a:srgbClr val="FFFFFF"/>
              </a:solidFill>
              <a:prstDash val="solid"/>
            </a:ln>
          </c:spPr>
        </c:majorGridlines>
        <c:title>
          <c:tx>
            <c:rich>
              <a:bodyPr/>
              <a:lstStyle/>
              <a:p>
                <a:pPr>
                  <a:defRPr sz="1000" b="1" i="0" u="none" strike="noStrike" baseline="0">
                    <a:solidFill>
                      <a:srgbClr val="000000"/>
                    </a:solidFill>
                    <a:latin typeface="Arial"/>
                    <a:ea typeface="Arial"/>
                    <a:cs typeface="Arial"/>
                  </a:defRPr>
                </a:pPr>
                <a:r>
                  <a:t>Score</a:t>
                </a:r>
              </a:p>
            </c:rich>
          </c:tx>
          <c:layout>
            <c:manualLayout>
              <c:xMode val="edge"/>
              <c:yMode val="edge"/>
              <c:x val="7.2916666666666668E-3"/>
              <c:y val="0.382154909207777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rtl="0">
              <a:defRPr sz="1000" b="0" i="0" u="none" strike="noStrike" baseline="0">
                <a:solidFill>
                  <a:srgbClr val="000000"/>
                </a:solidFill>
                <a:latin typeface="Arial"/>
                <a:ea typeface="Arial"/>
                <a:cs typeface="Arial"/>
              </a:defRPr>
            </a:pPr>
            <a:endParaRPr lang="fr-FR"/>
          </a:p>
        </c:txPr>
        <c:crossAx val="38910208"/>
        <c:crosses val="autoZero"/>
        <c:crossBetween val="between"/>
        <c:majorUnit val="20"/>
        <c:minorUnit val="10"/>
      </c:valAx>
      <c:spPr>
        <a:solidFill>
          <a:srgbClr val="C0C0C0"/>
        </a:solidFill>
        <a:ln w="12700">
          <a:solidFill>
            <a:srgbClr val="808080"/>
          </a:solidFill>
          <a:prstDash val="solid"/>
        </a:ln>
      </c:spPr>
    </c:plotArea>
    <c:legend>
      <c:legendPos val="r"/>
      <c:layout>
        <c:manualLayout>
          <c:xMode val="edge"/>
          <c:yMode val="edge"/>
          <c:wMode val="edge"/>
          <c:hMode val="edge"/>
          <c:x val="0"/>
          <c:y val="0.22222240077133215"/>
          <c:w val="0.28854177602799652"/>
          <c:h val="0.2626264574071098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t>Total des Notes</a:t>
            </a:r>
          </a:p>
        </c:rich>
      </c:tx>
      <c:layout>
        <c:manualLayout>
          <c:xMode val="edge"/>
          <c:yMode val="edge"/>
          <c:x val="0.30599405843500332"/>
          <c:y val="4.7618432941783917E-2"/>
        </c:manualLayout>
      </c:layout>
      <c:overlay val="0"/>
      <c:spPr>
        <a:noFill/>
        <a:ln w="25400">
          <a:noFill/>
        </a:ln>
      </c:spPr>
    </c:title>
    <c:autoTitleDeleted val="0"/>
    <c:plotArea>
      <c:layout>
        <c:manualLayout>
          <c:layoutTarget val="inner"/>
          <c:xMode val="edge"/>
          <c:yMode val="edge"/>
          <c:x val="4.7318611987381701E-2"/>
          <c:y val="0.29762077765053974"/>
          <c:w val="0.90851735015772872"/>
          <c:h val="0.47024082868785277"/>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lgn="ctr" rtl="0">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PartEq!$A$4</c:f>
              <c:numCache>
                <c:formatCode>0.00</c:formatCode>
                <c:ptCount val="1"/>
                <c:pt idx="0">
                  <c:v>0</c:v>
                </c:pt>
              </c:numCache>
            </c:numRef>
          </c:val>
        </c:ser>
        <c:ser>
          <c:idx val="1"/>
          <c:order val="1"/>
          <c:spPr>
            <a:solidFill>
              <a:srgbClr val="993366"/>
            </a:solidFill>
            <a:ln w="12700">
              <a:solidFill>
                <a:srgbClr val="000000"/>
              </a:solidFill>
              <a:prstDash val="solid"/>
            </a:ln>
          </c:spPr>
          <c:invertIfNegative val="0"/>
          <c:dLbls>
            <c:dLbl>
              <c:idx val="0"/>
              <c:spPr>
                <a:noFill/>
                <a:ln w="25400">
                  <a:noFill/>
                </a:ln>
              </c:spPr>
              <c:txPr>
                <a:bodyPr/>
                <a:lstStyle/>
                <a:p>
                  <a:pPr>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dLbl>
            <c:spPr>
              <a:noFill/>
              <a:ln w="25400">
                <a:noFill/>
              </a:ln>
            </c:spPr>
            <c:txPr>
              <a:bodyPr/>
              <a:lstStyle/>
              <a:p>
                <a:pPr>
                  <a:defRPr sz="55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PartEq!$A$5</c:f>
              <c:numCache>
                <c:formatCode>0.00</c:formatCode>
                <c:ptCount val="1"/>
                <c:pt idx="0">
                  <c:v>100</c:v>
                </c:pt>
              </c:numCache>
            </c:numRef>
          </c:val>
        </c:ser>
        <c:dLbls>
          <c:showLegendKey val="0"/>
          <c:showVal val="0"/>
          <c:showCatName val="0"/>
          <c:showSerName val="0"/>
          <c:showPercent val="0"/>
          <c:showBubbleSize val="0"/>
        </c:dLbls>
        <c:gapWidth val="150"/>
        <c:axId val="38955264"/>
        <c:axId val="38969728"/>
      </c:barChart>
      <c:catAx>
        <c:axId val="38955264"/>
        <c:scaling>
          <c:orientation val="minMax"/>
        </c:scaling>
        <c:delete val="1"/>
        <c:axPos val="b"/>
        <c:title>
          <c:tx>
            <c:rich>
              <a:bodyPr/>
              <a:lstStyle/>
              <a:p>
                <a:pPr>
                  <a:defRPr sz="1050" b="1" i="0" u="none" strike="noStrike" baseline="0">
                    <a:solidFill>
                      <a:srgbClr val="000000"/>
                    </a:solidFill>
                    <a:latin typeface="Arial"/>
                    <a:ea typeface="Arial"/>
                    <a:cs typeface="Arial"/>
                  </a:defRPr>
                </a:pPr>
                <a:r>
                  <a:t>Notes Capacite  Notes Consensus</a:t>
                </a:r>
              </a:p>
            </c:rich>
          </c:tx>
          <c:layout>
            <c:manualLayout>
              <c:xMode val="edge"/>
              <c:yMode val="edge"/>
              <c:x val="0.11987386192110601"/>
              <c:y val="0.76786110752549364"/>
            </c:manualLayout>
          </c:layout>
          <c:overlay val="0"/>
          <c:spPr>
            <a:noFill/>
            <a:ln w="25400">
              <a:noFill/>
            </a:ln>
          </c:spPr>
        </c:title>
        <c:majorTickMark val="out"/>
        <c:minorTickMark val="none"/>
        <c:tickLblPos val="nextTo"/>
        <c:crossAx val="38969728"/>
        <c:crosses val="autoZero"/>
        <c:auto val="1"/>
        <c:lblAlgn val="ctr"/>
        <c:lblOffset val="100"/>
        <c:noMultiLvlLbl val="0"/>
      </c:catAx>
      <c:valAx>
        <c:axId val="38969728"/>
        <c:scaling>
          <c:orientation val="minMax"/>
        </c:scaling>
        <c:delete val="1"/>
        <c:axPos val="l"/>
        <c:numFmt formatCode="0.00" sourceLinked="1"/>
        <c:majorTickMark val="out"/>
        <c:minorTickMark val="none"/>
        <c:tickLblPos val="nextTo"/>
        <c:crossAx val="3895526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Durabilité (Perennisation) des Acquis du Programme</a:t>
            </a:r>
          </a:p>
        </c:rich>
      </c:tx>
      <c:layout>
        <c:manualLayout>
          <c:xMode val="edge"/>
          <c:yMode val="edge"/>
          <c:x val="3.229166666666667E-2"/>
          <c:y val="3.3669898405556453E-2"/>
        </c:manualLayout>
      </c:layout>
      <c:overlay val="0"/>
      <c:spPr>
        <a:noFill/>
        <a:ln w="25400">
          <a:noFill/>
        </a:ln>
      </c:spPr>
    </c:title>
    <c:autoTitleDeleted val="0"/>
    <c:plotArea>
      <c:layout>
        <c:manualLayout>
          <c:layoutTarget val="inner"/>
          <c:xMode val="edge"/>
          <c:yMode val="edge"/>
          <c:x val="0.10729166666666666"/>
          <c:y val="0.15824915824915825"/>
          <c:w val="0.88124999999999998"/>
          <c:h val="0.61673943684361121"/>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Dur!$Y$12:$Y$27</c:f>
              <c:strCache>
                <c:ptCount val="10"/>
                <c:pt idx="0">
                  <c:v>31. Conc et D. environ</c:v>
                </c:pt>
                <c:pt idx="1">
                  <c:v>32. Conc et D. économ</c:v>
                </c:pt>
                <c:pt idx="2">
                  <c:v>33. Conc et D. politique </c:v>
                </c:pt>
                <c:pt idx="3">
                  <c:v>34. Conc et D. instituti</c:v>
                </c:pt>
                <c:pt idx="4">
                  <c:v>35. Conc et D. culturel</c:v>
                </c:pt>
                <c:pt idx="5">
                  <c:v>36. Exéc et D. économ</c:v>
                </c:pt>
                <c:pt idx="6">
                  <c:v>37. Exéc et D. instituti</c:v>
                </c:pt>
                <c:pt idx="7">
                  <c:v>38. Suivi et D. environ</c:v>
                </c:pt>
                <c:pt idx="8">
                  <c:v>39. Suivi et D. économ</c:v>
                </c:pt>
                <c:pt idx="9">
                  <c:v>40. Suivi et D. instituti</c:v>
                </c:pt>
              </c:strCache>
            </c:strRef>
          </c:cat>
          <c:val>
            <c:numRef>
              <c:f>Dur!$W$12:$W$27</c:f>
              <c:numCache>
                <c:formatCode>0</c:formatCode>
                <c:ptCount val="16"/>
                <c:pt idx="0">
                  <c:v>0</c:v>
                </c:pt>
                <c:pt idx="1">
                  <c:v>0</c:v>
                </c:pt>
                <c:pt idx="2">
                  <c:v>0</c:v>
                </c:pt>
                <c:pt idx="3">
                  <c:v>0</c:v>
                </c:pt>
                <c:pt idx="4">
                  <c:v>0</c:v>
                </c:pt>
                <c:pt idx="5">
                  <c:v>0</c:v>
                </c:pt>
                <c:pt idx="6">
                  <c:v>0</c:v>
                </c:pt>
                <c:pt idx="7">
                  <c:v>0</c:v>
                </c:pt>
                <c:pt idx="8">
                  <c:v>0</c:v>
                </c:pt>
                <c:pt idx="9">
                  <c:v>0</c:v>
                </c:pt>
              </c:numCache>
            </c:numRef>
          </c:val>
        </c:ser>
        <c:ser>
          <c:idx val="1"/>
          <c:order val="1"/>
          <c:tx>
            <c:v>Consensus Score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Dur!$Y$12:$Y$27</c:f>
              <c:strCache>
                <c:ptCount val="10"/>
                <c:pt idx="0">
                  <c:v>31. Conc et D. environ</c:v>
                </c:pt>
                <c:pt idx="1">
                  <c:v>32. Conc et D. économ</c:v>
                </c:pt>
                <c:pt idx="2">
                  <c:v>33. Conc et D. politique </c:v>
                </c:pt>
                <c:pt idx="3">
                  <c:v>34. Conc et D. instituti</c:v>
                </c:pt>
                <c:pt idx="4">
                  <c:v>35. Conc et D. culturel</c:v>
                </c:pt>
                <c:pt idx="5">
                  <c:v>36. Exéc et D. économ</c:v>
                </c:pt>
                <c:pt idx="6">
                  <c:v>37. Exéc et D. instituti</c:v>
                </c:pt>
                <c:pt idx="7">
                  <c:v>38. Suivi et D. environ</c:v>
                </c:pt>
                <c:pt idx="8">
                  <c:v>39. Suivi et D. économ</c:v>
                </c:pt>
                <c:pt idx="9">
                  <c:v>40. Suivi et D. instituti</c:v>
                </c:pt>
              </c:strCache>
            </c:strRef>
          </c:cat>
          <c:val>
            <c:numRef>
              <c:f>Dur!$X$12:$X$27</c:f>
              <c:numCache>
                <c:formatCode>0</c:formatCode>
                <c:ptCount val="16"/>
                <c:pt idx="0">
                  <c:v>100</c:v>
                </c:pt>
                <c:pt idx="1">
                  <c:v>100</c:v>
                </c:pt>
                <c:pt idx="2">
                  <c:v>100</c:v>
                </c:pt>
                <c:pt idx="3">
                  <c:v>100</c:v>
                </c:pt>
                <c:pt idx="4">
                  <c:v>100</c:v>
                </c:pt>
                <c:pt idx="5">
                  <c:v>100</c:v>
                </c:pt>
                <c:pt idx="6">
                  <c:v>100</c:v>
                </c:pt>
                <c:pt idx="7">
                  <c:v>100</c:v>
                </c:pt>
                <c:pt idx="8">
                  <c:v>100</c:v>
                </c:pt>
                <c:pt idx="9">
                  <c:v>100</c:v>
                </c:pt>
              </c:numCache>
            </c:numRef>
          </c:val>
        </c:ser>
        <c:dLbls>
          <c:showLegendKey val="0"/>
          <c:showVal val="0"/>
          <c:showCatName val="0"/>
          <c:showSerName val="0"/>
          <c:showPercent val="0"/>
          <c:showBubbleSize val="0"/>
        </c:dLbls>
        <c:gapWidth val="150"/>
        <c:axId val="39045760"/>
        <c:axId val="39055744"/>
      </c:barChart>
      <c:catAx>
        <c:axId val="39045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fr-FR"/>
          </a:p>
        </c:txPr>
        <c:crossAx val="39055744"/>
        <c:crosses val="autoZero"/>
        <c:auto val="1"/>
        <c:lblAlgn val="ctr"/>
        <c:lblOffset val="100"/>
        <c:tickLblSkip val="1"/>
        <c:tickMarkSkip val="1"/>
        <c:noMultiLvlLbl val="0"/>
      </c:catAx>
      <c:valAx>
        <c:axId val="39055744"/>
        <c:scaling>
          <c:orientation val="minMax"/>
          <c:max val="100"/>
          <c:min val="20"/>
        </c:scaling>
        <c:delete val="0"/>
        <c:axPos val="l"/>
        <c:majorGridlines>
          <c:spPr>
            <a:ln w="3175">
              <a:solidFill>
                <a:srgbClr val="FFFFFF"/>
              </a:solidFill>
              <a:prstDash val="solid"/>
            </a:ln>
          </c:spPr>
        </c:majorGridlines>
        <c:title>
          <c:tx>
            <c:rich>
              <a:bodyPr/>
              <a:lstStyle/>
              <a:p>
                <a:pPr>
                  <a:defRPr sz="1000" b="1" i="0" u="none" strike="noStrike" baseline="0">
                    <a:solidFill>
                      <a:srgbClr val="000000"/>
                    </a:solidFill>
                    <a:latin typeface="Arial"/>
                    <a:ea typeface="Arial"/>
                    <a:cs typeface="Arial"/>
                  </a:defRPr>
                </a:pPr>
                <a:r>
                  <a:t>Score</a:t>
                </a:r>
              </a:p>
            </c:rich>
          </c:tx>
          <c:layout>
            <c:manualLayout>
              <c:xMode val="edge"/>
              <c:yMode val="edge"/>
              <c:x val="7.2916666666666668E-3"/>
              <c:y val="0.4444444444444444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39045760"/>
        <c:crosses val="autoZero"/>
        <c:crossBetween val="between"/>
        <c:majorUnit val="20"/>
        <c:minorUnit val="10"/>
      </c:valAx>
      <c:spPr>
        <a:solidFill>
          <a:srgbClr val="C0C0C0"/>
        </a:solidFill>
        <a:ln w="12700">
          <a:solidFill>
            <a:srgbClr val="808080"/>
          </a:solidFill>
          <a:prstDash val="solid"/>
        </a:ln>
      </c:spPr>
    </c:plotArea>
    <c:legend>
      <c:legendPos val="r"/>
      <c:layout>
        <c:manualLayout>
          <c:xMode val="edge"/>
          <c:yMode val="edge"/>
          <c:wMode val="edge"/>
          <c:hMode val="edge"/>
          <c:x val="0"/>
          <c:y val="0.20707072330244433"/>
          <c:w val="0.28854177602799652"/>
          <c:h val="0.24747477993822201"/>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t>Total des Notes</a:t>
            </a:r>
          </a:p>
        </c:rich>
      </c:tx>
      <c:layout>
        <c:manualLayout>
          <c:xMode val="edge"/>
          <c:yMode val="edge"/>
          <c:x val="0.30897042869641295"/>
          <c:y val="5.4053957541021658E-2"/>
        </c:manualLayout>
      </c:layout>
      <c:overlay val="0"/>
      <c:spPr>
        <a:noFill/>
        <a:ln w="25400">
          <a:noFill/>
        </a:ln>
      </c:spPr>
    </c:title>
    <c:autoTitleDeleted val="0"/>
    <c:plotArea>
      <c:layout>
        <c:manualLayout>
          <c:layoutTarget val="inner"/>
          <c:xMode val="edge"/>
          <c:yMode val="edge"/>
          <c:x val="4.9833967883694784E-2"/>
          <c:y val="0.33108217338660456"/>
          <c:w val="0.90365595095766549"/>
          <c:h val="0.41216352197107914"/>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lgn="ctr" rtl="0">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Dur!$A$4</c:f>
              <c:numCache>
                <c:formatCode>0.00</c:formatCode>
                <c:ptCount val="1"/>
                <c:pt idx="0">
                  <c:v>0</c:v>
                </c:pt>
              </c:numCache>
            </c:numRef>
          </c:val>
        </c:ser>
        <c:ser>
          <c:idx val="1"/>
          <c:order val="1"/>
          <c:spPr>
            <a:solidFill>
              <a:srgbClr val="993366"/>
            </a:solidFill>
            <a:ln w="12700">
              <a:solidFill>
                <a:srgbClr val="000000"/>
              </a:solidFill>
              <a:prstDash val="solid"/>
            </a:ln>
          </c:spPr>
          <c:invertIfNegative val="0"/>
          <c:dLbls>
            <c:dLbl>
              <c:idx val="0"/>
              <c:spPr>
                <a:noFill/>
                <a:ln w="25400">
                  <a:noFill/>
                </a:ln>
              </c:spPr>
              <c:txPr>
                <a:bodyPr/>
                <a:lstStyle/>
                <a:p>
                  <a:pPr>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dLbl>
            <c:spPr>
              <a:noFill/>
              <a:ln w="25400">
                <a:noFill/>
              </a:ln>
            </c:spPr>
            <c:txPr>
              <a:bodyPr/>
              <a:lstStyle/>
              <a:p>
                <a:pPr>
                  <a:defRPr sz="47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Dur!$A$5</c:f>
              <c:numCache>
                <c:formatCode>0.00</c:formatCode>
                <c:ptCount val="1"/>
                <c:pt idx="0">
                  <c:v>100</c:v>
                </c:pt>
              </c:numCache>
            </c:numRef>
          </c:val>
        </c:ser>
        <c:dLbls>
          <c:showLegendKey val="0"/>
          <c:showVal val="0"/>
          <c:showCatName val="0"/>
          <c:showSerName val="0"/>
          <c:showPercent val="0"/>
          <c:showBubbleSize val="0"/>
        </c:dLbls>
        <c:gapWidth val="150"/>
        <c:axId val="39901824"/>
        <c:axId val="42926848"/>
      </c:barChart>
      <c:catAx>
        <c:axId val="39901824"/>
        <c:scaling>
          <c:orientation val="minMax"/>
        </c:scaling>
        <c:delete val="1"/>
        <c:axPos val="b"/>
        <c:title>
          <c:tx>
            <c:rich>
              <a:bodyPr/>
              <a:lstStyle/>
              <a:p>
                <a:pPr>
                  <a:defRPr sz="1000" b="1" i="0" u="none" strike="noStrike" baseline="0">
                    <a:solidFill>
                      <a:srgbClr val="000000"/>
                    </a:solidFill>
                    <a:latin typeface="Arial"/>
                    <a:ea typeface="Arial"/>
                    <a:cs typeface="Arial"/>
                  </a:defRPr>
                </a:pPr>
                <a:r>
                  <a:t>Notes Capacite  Notes Consensus</a:t>
                </a:r>
              </a:p>
            </c:rich>
          </c:tx>
          <c:layout>
            <c:manualLayout>
              <c:xMode val="edge"/>
              <c:yMode val="edge"/>
              <c:x val="0.14950201224846893"/>
              <c:y val="0.7432463799167961"/>
            </c:manualLayout>
          </c:layout>
          <c:overlay val="0"/>
          <c:spPr>
            <a:noFill/>
            <a:ln w="25400">
              <a:noFill/>
            </a:ln>
          </c:spPr>
        </c:title>
        <c:majorTickMark val="out"/>
        <c:minorTickMark val="none"/>
        <c:tickLblPos val="nextTo"/>
        <c:crossAx val="42926848"/>
        <c:crosses val="autoZero"/>
        <c:auto val="1"/>
        <c:lblAlgn val="ctr"/>
        <c:lblOffset val="100"/>
        <c:noMultiLvlLbl val="0"/>
      </c:catAx>
      <c:valAx>
        <c:axId val="42926848"/>
        <c:scaling>
          <c:orientation val="minMax"/>
        </c:scaling>
        <c:delete val="1"/>
        <c:axPos val="l"/>
        <c:numFmt formatCode="0.00" sourceLinked="1"/>
        <c:majorTickMark val="out"/>
        <c:minorTickMark val="none"/>
        <c:tickLblPos val="nextTo"/>
        <c:crossAx val="3990182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Partenariat</a:t>
            </a:r>
          </a:p>
        </c:rich>
      </c:tx>
      <c:layout>
        <c:manualLayout>
          <c:xMode val="edge"/>
          <c:yMode val="edge"/>
          <c:x val="9.3749890638670175E-2"/>
          <c:y val="3.3669898405556453E-2"/>
        </c:manualLayout>
      </c:layout>
      <c:overlay val="0"/>
      <c:spPr>
        <a:noFill/>
        <a:ln w="25400">
          <a:noFill/>
        </a:ln>
      </c:spPr>
    </c:title>
    <c:autoTitleDeleted val="0"/>
    <c:plotArea>
      <c:layout>
        <c:manualLayout>
          <c:layoutTarget val="inner"/>
          <c:xMode val="edge"/>
          <c:yMode val="edge"/>
          <c:x val="0.11562500000000001"/>
          <c:y val="0.15824915824915825"/>
          <c:w val="0.87291666666666667"/>
          <c:h val="0.55218855218855223"/>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Partn!$Y$12:$Y$23</c:f>
              <c:strCache>
                <c:ptCount val="10"/>
                <c:pt idx="0">
                  <c:v>41. Décideurs Politiques</c:v>
                </c:pt>
                <c:pt idx="1">
                  <c:v>42. Secteur Privé</c:v>
                </c:pt>
                <c:pt idx="2">
                  <c:v>43. ONG</c:v>
                </c:pt>
                <c:pt idx="3">
                  <c:v>44. Partenariats Actifs</c:v>
                </c:pt>
                <c:pt idx="4">
                  <c:v>45. Suivi de l'efficacité </c:v>
                </c:pt>
                <c:pt idx="5">
                  <c:v>46. Apport Avantages Financiers</c:v>
                </c:pt>
                <c:pt idx="6">
                  <c:v>47. Apport Compétences Techniques</c:v>
                </c:pt>
                <c:pt idx="7">
                  <c:v>48. Apport Nouveaux réseaux</c:v>
                </c:pt>
                <c:pt idx="8">
                  <c:v>49. Partage d'informations</c:v>
                </c:pt>
                <c:pt idx="9">
                  <c:v>50. Renforcement de la confiance</c:v>
                </c:pt>
              </c:strCache>
            </c:strRef>
          </c:cat>
          <c:val>
            <c:numRef>
              <c:f>Partn!$W$12:$W$23</c:f>
              <c:numCache>
                <c:formatCode>0</c:formatCode>
                <c:ptCount val="12"/>
                <c:pt idx="0">
                  <c:v>0</c:v>
                </c:pt>
                <c:pt idx="1">
                  <c:v>0</c:v>
                </c:pt>
                <c:pt idx="2">
                  <c:v>0</c:v>
                </c:pt>
                <c:pt idx="3">
                  <c:v>0</c:v>
                </c:pt>
                <c:pt idx="4">
                  <c:v>0</c:v>
                </c:pt>
                <c:pt idx="5">
                  <c:v>0</c:v>
                </c:pt>
                <c:pt idx="6">
                  <c:v>0</c:v>
                </c:pt>
                <c:pt idx="7">
                  <c:v>0</c:v>
                </c:pt>
                <c:pt idx="8">
                  <c:v>0</c:v>
                </c:pt>
                <c:pt idx="9">
                  <c:v>0</c:v>
                </c:pt>
              </c:numCache>
            </c:numRef>
          </c:val>
        </c:ser>
        <c:ser>
          <c:idx val="1"/>
          <c:order val="1"/>
          <c:tx>
            <c:v>Consensus Score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Partn!$Y$12:$Y$23</c:f>
              <c:strCache>
                <c:ptCount val="10"/>
                <c:pt idx="0">
                  <c:v>41. Décideurs Politiques</c:v>
                </c:pt>
                <c:pt idx="1">
                  <c:v>42. Secteur Privé</c:v>
                </c:pt>
                <c:pt idx="2">
                  <c:v>43. ONG</c:v>
                </c:pt>
                <c:pt idx="3">
                  <c:v>44. Partenariats Actifs</c:v>
                </c:pt>
                <c:pt idx="4">
                  <c:v>45. Suivi de l'efficacité </c:v>
                </c:pt>
                <c:pt idx="5">
                  <c:v>46. Apport Avantages Financiers</c:v>
                </c:pt>
                <c:pt idx="6">
                  <c:v>47. Apport Compétences Techniques</c:v>
                </c:pt>
                <c:pt idx="7">
                  <c:v>48. Apport Nouveaux réseaux</c:v>
                </c:pt>
                <c:pt idx="8">
                  <c:v>49. Partage d'informations</c:v>
                </c:pt>
                <c:pt idx="9">
                  <c:v>50. Renforcement de la confiance</c:v>
                </c:pt>
              </c:strCache>
            </c:strRef>
          </c:cat>
          <c:val>
            <c:numRef>
              <c:f>Partn!$X$12:$X$23</c:f>
              <c:numCache>
                <c:formatCode>0</c:formatCode>
                <c:ptCount val="12"/>
                <c:pt idx="0">
                  <c:v>100</c:v>
                </c:pt>
                <c:pt idx="1">
                  <c:v>100</c:v>
                </c:pt>
                <c:pt idx="2">
                  <c:v>100</c:v>
                </c:pt>
                <c:pt idx="3">
                  <c:v>100</c:v>
                </c:pt>
                <c:pt idx="4">
                  <c:v>100</c:v>
                </c:pt>
                <c:pt idx="5">
                  <c:v>100</c:v>
                </c:pt>
                <c:pt idx="6">
                  <c:v>100</c:v>
                </c:pt>
                <c:pt idx="7">
                  <c:v>100</c:v>
                </c:pt>
                <c:pt idx="8">
                  <c:v>100</c:v>
                </c:pt>
                <c:pt idx="9">
                  <c:v>100</c:v>
                </c:pt>
              </c:numCache>
            </c:numRef>
          </c:val>
        </c:ser>
        <c:dLbls>
          <c:showLegendKey val="0"/>
          <c:showVal val="0"/>
          <c:showCatName val="0"/>
          <c:showSerName val="0"/>
          <c:showPercent val="0"/>
          <c:showBubbleSize val="0"/>
        </c:dLbls>
        <c:gapWidth val="150"/>
        <c:axId val="43222144"/>
        <c:axId val="43223680"/>
      </c:barChart>
      <c:catAx>
        <c:axId val="432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rtl="0">
              <a:defRPr sz="1000" b="0" i="0" u="none" strike="noStrike" baseline="0">
                <a:solidFill>
                  <a:srgbClr val="000000"/>
                </a:solidFill>
                <a:latin typeface="Arial"/>
                <a:ea typeface="Arial"/>
                <a:cs typeface="Arial"/>
              </a:defRPr>
            </a:pPr>
            <a:endParaRPr lang="fr-FR"/>
          </a:p>
        </c:txPr>
        <c:crossAx val="43223680"/>
        <c:crosses val="autoZero"/>
        <c:auto val="1"/>
        <c:lblAlgn val="ctr"/>
        <c:lblOffset val="100"/>
        <c:tickLblSkip val="1"/>
        <c:tickMarkSkip val="1"/>
        <c:noMultiLvlLbl val="0"/>
      </c:catAx>
      <c:valAx>
        <c:axId val="43223680"/>
        <c:scaling>
          <c:orientation val="minMax"/>
          <c:max val="100"/>
          <c:min val="20"/>
        </c:scaling>
        <c:delete val="0"/>
        <c:axPos val="l"/>
        <c:majorGridlines>
          <c:spPr>
            <a:ln w="3175">
              <a:solidFill>
                <a:srgbClr val="FFFFFF"/>
              </a:solidFill>
              <a:prstDash val="solid"/>
            </a:ln>
          </c:spPr>
        </c:majorGridlines>
        <c:title>
          <c:tx>
            <c:rich>
              <a:bodyPr/>
              <a:lstStyle/>
              <a:p>
                <a:pPr>
                  <a:defRPr sz="1000" b="1" i="0" u="none" strike="noStrike" baseline="0">
                    <a:solidFill>
                      <a:srgbClr val="000000"/>
                    </a:solidFill>
                    <a:latin typeface="Arial"/>
                    <a:ea typeface="Arial"/>
                    <a:cs typeface="Arial"/>
                  </a:defRPr>
                </a:pPr>
                <a:r>
                  <a:t>Score</a:t>
                </a:r>
              </a:p>
            </c:rich>
          </c:tx>
          <c:layout>
            <c:manualLayout>
              <c:xMode val="edge"/>
              <c:yMode val="edge"/>
              <c:x val="7.2916666666666668E-3"/>
              <c:y val="0.400673487242666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rtl="0">
              <a:defRPr sz="1000" b="0" i="0" u="none" strike="noStrike" baseline="0">
                <a:solidFill>
                  <a:srgbClr val="000000"/>
                </a:solidFill>
                <a:latin typeface="Arial"/>
                <a:ea typeface="Arial"/>
                <a:cs typeface="Arial"/>
              </a:defRPr>
            </a:pPr>
            <a:endParaRPr lang="fr-FR"/>
          </a:p>
        </c:txPr>
        <c:crossAx val="43222144"/>
        <c:crosses val="autoZero"/>
        <c:crossBetween val="between"/>
        <c:majorUnit val="20"/>
        <c:minorUnit val="10"/>
      </c:valAx>
      <c:spPr>
        <a:solidFill>
          <a:srgbClr val="C0C0C0"/>
        </a:solidFill>
        <a:ln w="12700">
          <a:solidFill>
            <a:srgbClr val="808080"/>
          </a:solidFill>
          <a:prstDash val="solid"/>
        </a:ln>
      </c:spPr>
    </c:plotArea>
    <c:legend>
      <c:legendPos val="r"/>
      <c:layout>
        <c:manualLayout>
          <c:xMode val="edge"/>
          <c:yMode val="edge"/>
          <c:wMode val="edge"/>
          <c:hMode val="edge"/>
          <c:x val="0"/>
          <c:y val="0.20538718374488904"/>
          <c:w val="0.28854177602799652"/>
          <c:h val="0.24579124038066671"/>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Total Scores</a:t>
            </a:r>
          </a:p>
        </c:rich>
      </c:tx>
      <c:layout>
        <c:manualLayout>
          <c:xMode val="edge"/>
          <c:yMode val="edge"/>
          <c:x val="0.34694012910548339"/>
          <c:y val="5.4052657480314958E-2"/>
        </c:manualLayout>
      </c:layout>
      <c:overlay val="0"/>
      <c:spPr>
        <a:noFill/>
        <a:ln w="25400">
          <a:noFill/>
        </a:ln>
      </c:spPr>
    </c:title>
    <c:autoTitleDeleted val="0"/>
    <c:plotArea>
      <c:layout>
        <c:manualLayout>
          <c:layoutTarget val="inner"/>
          <c:xMode val="edge"/>
          <c:yMode val="edge"/>
          <c:x val="5.1020577635315804E-2"/>
          <c:y val="0.30405505719177967"/>
          <c:w val="0.90136353822391257"/>
          <c:h val="0.43919063816590398"/>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lgn="ctr" rtl="0">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Partn!$A$4</c:f>
              <c:numCache>
                <c:formatCode>0.00</c:formatCode>
                <c:ptCount val="1"/>
                <c:pt idx="0">
                  <c:v>0</c:v>
                </c:pt>
              </c:numCache>
            </c:numRef>
          </c:val>
        </c:ser>
        <c:ser>
          <c:idx val="1"/>
          <c:order val="1"/>
          <c:spPr>
            <a:solidFill>
              <a:srgbClr val="993366"/>
            </a:solidFill>
            <a:ln w="12700">
              <a:solidFill>
                <a:srgbClr val="000000"/>
              </a:solidFill>
              <a:prstDash val="solid"/>
            </a:ln>
          </c:spPr>
          <c:invertIfNegative val="0"/>
          <c:dLbls>
            <c:dLbl>
              <c:idx val="0"/>
              <c:spPr>
                <a:noFill/>
                <a:ln w="25400">
                  <a:noFill/>
                </a:ln>
              </c:spPr>
              <c:txPr>
                <a:bodyPr/>
                <a:lstStyle/>
                <a:p>
                  <a:pPr>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dLbl>
            <c:spPr>
              <a:noFill/>
              <a:ln w="25400">
                <a:noFill/>
              </a:ln>
            </c:spPr>
            <c:txPr>
              <a:bodyPr/>
              <a:lstStyle/>
              <a:p>
                <a:pPr>
                  <a:defRPr sz="47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Partn!$A$5</c:f>
              <c:numCache>
                <c:formatCode>0.00</c:formatCode>
                <c:ptCount val="1"/>
                <c:pt idx="0">
                  <c:v>100</c:v>
                </c:pt>
              </c:numCache>
            </c:numRef>
          </c:val>
        </c:ser>
        <c:dLbls>
          <c:showLegendKey val="0"/>
          <c:showVal val="0"/>
          <c:showCatName val="0"/>
          <c:showSerName val="0"/>
          <c:showPercent val="0"/>
          <c:showBubbleSize val="0"/>
        </c:dLbls>
        <c:gapWidth val="150"/>
        <c:axId val="44643456"/>
        <c:axId val="44645376"/>
      </c:barChart>
      <c:catAx>
        <c:axId val="44643456"/>
        <c:scaling>
          <c:orientation val="minMax"/>
        </c:scaling>
        <c:delete val="1"/>
        <c:axPos val="b"/>
        <c:title>
          <c:tx>
            <c:rich>
              <a:bodyPr/>
              <a:lstStyle/>
              <a:p>
                <a:pPr>
                  <a:defRPr sz="975" b="1" i="0" u="none" strike="noStrike" baseline="0">
                    <a:solidFill>
                      <a:srgbClr val="000000"/>
                    </a:solidFill>
                    <a:latin typeface="Arial"/>
                    <a:ea typeface="Arial"/>
                    <a:cs typeface="Arial"/>
                  </a:defRPr>
                </a:pPr>
                <a:r>
                  <a:t>Capacity Score   Consensus Score</a:t>
                </a:r>
              </a:p>
            </c:rich>
          </c:tx>
          <c:layout>
            <c:manualLayout>
              <c:xMode val="edge"/>
              <c:yMode val="edge"/>
              <c:x val="0.12585089026033908"/>
              <c:y val="0.74324475065616802"/>
            </c:manualLayout>
          </c:layout>
          <c:overlay val="0"/>
          <c:spPr>
            <a:noFill/>
            <a:ln w="25400">
              <a:noFill/>
            </a:ln>
          </c:spPr>
        </c:title>
        <c:majorTickMark val="out"/>
        <c:minorTickMark val="none"/>
        <c:tickLblPos val="nextTo"/>
        <c:crossAx val="44645376"/>
        <c:crosses val="autoZero"/>
        <c:auto val="1"/>
        <c:lblAlgn val="ctr"/>
        <c:lblOffset val="100"/>
        <c:noMultiLvlLbl val="0"/>
      </c:catAx>
      <c:valAx>
        <c:axId val="44645376"/>
        <c:scaling>
          <c:orientation val="minMax"/>
        </c:scaling>
        <c:delete val="1"/>
        <c:axPos val="l"/>
        <c:numFmt formatCode="0.00" sourceLinked="1"/>
        <c:majorTickMark val="out"/>
        <c:minorTickMark val="none"/>
        <c:tickLblPos val="nextTo"/>
        <c:crossAx val="4464345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Apprentissage Organisationnel</a:t>
            </a:r>
          </a:p>
        </c:rich>
      </c:tx>
      <c:layout>
        <c:manualLayout>
          <c:xMode val="edge"/>
          <c:yMode val="edge"/>
          <c:x val="9.583333333333334E-2"/>
          <c:y val="3.3669898405556453E-2"/>
        </c:manualLayout>
      </c:layout>
      <c:overlay val="0"/>
      <c:spPr>
        <a:noFill/>
        <a:ln w="25400">
          <a:noFill/>
        </a:ln>
      </c:spPr>
    </c:title>
    <c:autoTitleDeleted val="0"/>
    <c:plotArea>
      <c:layout>
        <c:manualLayout>
          <c:layoutTarget val="inner"/>
          <c:xMode val="edge"/>
          <c:yMode val="edge"/>
          <c:x val="0.11458333333333333"/>
          <c:y val="0.15824915824915825"/>
          <c:w val="0.87395833333333328"/>
          <c:h val="0.54545454545454541"/>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AppOrg!$Y$12:$Y$25</c:f>
              <c:strCache>
                <c:ptCount val="10"/>
                <c:pt idx="0">
                  <c:v>61. Qualité des Rapports Bailleurs</c:v>
                </c:pt>
                <c:pt idx="1">
                  <c:v>62. Mobilisation des fonds</c:v>
                </c:pt>
                <c:pt idx="2">
                  <c:v>63. Relations publiques</c:v>
                </c:pt>
                <c:pt idx="3">
                  <c:v>64. Plaidoyer</c:v>
                </c:pt>
                <c:pt idx="4">
                  <c:v>65. Contrôle financier</c:v>
                </c:pt>
                <c:pt idx="5">
                  <c:v>66. Direction stratégique</c:v>
                </c:pt>
                <c:pt idx="6">
                  <c:v>67. Représentativité du CA</c:v>
                </c:pt>
                <c:pt idx="7">
                  <c:v>68. Planification stratégique</c:v>
                </c:pt>
                <c:pt idx="8">
                  <c:v>69. Initiatives consistantes </c:v>
                </c:pt>
                <c:pt idx="9">
                  <c:v>70. Suivi du progrès</c:v>
                </c:pt>
              </c:strCache>
            </c:strRef>
          </c:cat>
          <c:val>
            <c:numRef>
              <c:f>AppOrg!$W$12:$W$25</c:f>
              <c:numCache>
                <c:formatCode>0</c:formatCode>
                <c:ptCount val="14"/>
                <c:pt idx="0">
                  <c:v>0</c:v>
                </c:pt>
                <c:pt idx="1">
                  <c:v>0</c:v>
                </c:pt>
                <c:pt idx="2">
                  <c:v>0</c:v>
                </c:pt>
                <c:pt idx="3">
                  <c:v>0</c:v>
                </c:pt>
                <c:pt idx="4">
                  <c:v>0</c:v>
                </c:pt>
                <c:pt idx="5">
                  <c:v>0</c:v>
                </c:pt>
                <c:pt idx="6">
                  <c:v>0</c:v>
                </c:pt>
                <c:pt idx="7">
                  <c:v>0</c:v>
                </c:pt>
                <c:pt idx="8">
                  <c:v>0</c:v>
                </c:pt>
                <c:pt idx="9">
                  <c:v>0</c:v>
                </c:pt>
              </c:numCache>
            </c:numRef>
          </c:val>
        </c:ser>
        <c:ser>
          <c:idx val="1"/>
          <c:order val="1"/>
          <c:tx>
            <c:v>Consensus Score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AppOrg!$Y$12:$Y$25</c:f>
              <c:strCache>
                <c:ptCount val="10"/>
                <c:pt idx="0">
                  <c:v>61. Qualité des Rapports Bailleurs</c:v>
                </c:pt>
                <c:pt idx="1">
                  <c:v>62. Mobilisation des fonds</c:v>
                </c:pt>
                <c:pt idx="2">
                  <c:v>63. Relations publiques</c:v>
                </c:pt>
                <c:pt idx="3">
                  <c:v>64. Plaidoyer</c:v>
                </c:pt>
                <c:pt idx="4">
                  <c:v>65. Contrôle financier</c:v>
                </c:pt>
                <c:pt idx="5">
                  <c:v>66. Direction stratégique</c:v>
                </c:pt>
                <c:pt idx="6">
                  <c:v>67. Représentativité du CA</c:v>
                </c:pt>
                <c:pt idx="7">
                  <c:v>68. Planification stratégique</c:v>
                </c:pt>
                <c:pt idx="8">
                  <c:v>69. Initiatives consistantes </c:v>
                </c:pt>
                <c:pt idx="9">
                  <c:v>70. Suivi du progrès</c:v>
                </c:pt>
              </c:strCache>
            </c:strRef>
          </c:cat>
          <c:val>
            <c:numRef>
              <c:f>AppOrg!$X$12:$X$25</c:f>
              <c:numCache>
                <c:formatCode>0</c:formatCode>
                <c:ptCount val="14"/>
                <c:pt idx="0">
                  <c:v>100</c:v>
                </c:pt>
                <c:pt idx="1">
                  <c:v>100</c:v>
                </c:pt>
                <c:pt idx="2">
                  <c:v>100</c:v>
                </c:pt>
                <c:pt idx="3">
                  <c:v>100</c:v>
                </c:pt>
                <c:pt idx="4">
                  <c:v>100</c:v>
                </c:pt>
                <c:pt idx="5">
                  <c:v>100</c:v>
                </c:pt>
                <c:pt idx="6">
                  <c:v>100</c:v>
                </c:pt>
                <c:pt idx="7">
                  <c:v>100</c:v>
                </c:pt>
                <c:pt idx="8">
                  <c:v>100</c:v>
                </c:pt>
                <c:pt idx="9">
                  <c:v>100</c:v>
                </c:pt>
              </c:numCache>
            </c:numRef>
          </c:val>
        </c:ser>
        <c:dLbls>
          <c:showLegendKey val="0"/>
          <c:showVal val="0"/>
          <c:showCatName val="0"/>
          <c:showSerName val="0"/>
          <c:showPercent val="0"/>
          <c:showBubbleSize val="0"/>
        </c:dLbls>
        <c:gapWidth val="150"/>
        <c:axId val="53250688"/>
        <c:axId val="53252480"/>
      </c:barChart>
      <c:catAx>
        <c:axId val="5325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rtl="0">
              <a:defRPr sz="1000" b="0" i="0" u="none" strike="noStrike" baseline="0">
                <a:solidFill>
                  <a:srgbClr val="000000"/>
                </a:solidFill>
                <a:latin typeface="Arial"/>
                <a:ea typeface="Arial"/>
                <a:cs typeface="Arial"/>
              </a:defRPr>
            </a:pPr>
            <a:endParaRPr lang="fr-FR"/>
          </a:p>
        </c:txPr>
        <c:crossAx val="53252480"/>
        <c:crosses val="autoZero"/>
        <c:auto val="1"/>
        <c:lblAlgn val="ctr"/>
        <c:lblOffset val="100"/>
        <c:tickLblSkip val="1"/>
        <c:tickMarkSkip val="1"/>
        <c:noMultiLvlLbl val="0"/>
      </c:catAx>
      <c:valAx>
        <c:axId val="53252480"/>
        <c:scaling>
          <c:orientation val="minMax"/>
          <c:max val="100"/>
          <c:min val="20"/>
        </c:scaling>
        <c:delete val="0"/>
        <c:axPos val="l"/>
        <c:majorGridlines>
          <c:spPr>
            <a:ln w="3175">
              <a:solidFill>
                <a:srgbClr val="FFFFFF"/>
              </a:solidFill>
              <a:prstDash val="solid"/>
            </a:ln>
          </c:spPr>
        </c:majorGridlines>
        <c:title>
          <c:tx>
            <c:rich>
              <a:bodyPr/>
              <a:lstStyle/>
              <a:p>
                <a:pPr>
                  <a:defRPr sz="1000" b="1" i="0" u="none" strike="noStrike" baseline="0">
                    <a:solidFill>
                      <a:srgbClr val="000000"/>
                    </a:solidFill>
                    <a:latin typeface="Arial"/>
                    <a:ea typeface="Arial"/>
                    <a:cs typeface="Arial"/>
                  </a:defRPr>
                </a:pPr>
                <a:r>
                  <a:t>Score</a:t>
                </a:r>
              </a:p>
            </c:rich>
          </c:tx>
          <c:layout>
            <c:manualLayout>
              <c:xMode val="edge"/>
              <c:yMode val="edge"/>
              <c:x val="7.2916666666666668E-3"/>
              <c:y val="0.3973064081275554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rtl="0">
              <a:defRPr sz="1000" b="0" i="0" u="none" strike="noStrike" baseline="0">
                <a:solidFill>
                  <a:srgbClr val="000000"/>
                </a:solidFill>
                <a:latin typeface="Arial"/>
                <a:ea typeface="Arial"/>
                <a:cs typeface="Arial"/>
              </a:defRPr>
            </a:pPr>
            <a:endParaRPr lang="fr-FR"/>
          </a:p>
        </c:txPr>
        <c:crossAx val="53250688"/>
        <c:crosses val="autoZero"/>
        <c:crossBetween val="between"/>
        <c:majorUnit val="20"/>
        <c:minorUnit val="10"/>
      </c:valAx>
      <c:spPr>
        <a:solidFill>
          <a:srgbClr val="C0C0C0"/>
        </a:solidFill>
        <a:ln w="12700">
          <a:solidFill>
            <a:srgbClr val="808080"/>
          </a:solidFill>
          <a:prstDash val="solid"/>
        </a:ln>
      </c:spPr>
    </c:plotArea>
    <c:legend>
      <c:legendPos val="r"/>
      <c:layout>
        <c:manualLayout>
          <c:xMode val="edge"/>
          <c:yMode val="edge"/>
          <c:wMode val="edge"/>
          <c:hMode val="edge"/>
          <c:x val="0"/>
          <c:y val="0.21212116342600032"/>
          <c:w val="0.28854166666666664"/>
          <c:h val="0.25252522006177797"/>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t>Total Scores</a:t>
            </a:r>
          </a:p>
        </c:rich>
      </c:tx>
      <c:layout>
        <c:manualLayout>
          <c:xMode val="edge"/>
          <c:yMode val="edge"/>
          <c:x val="0.33860787401574799"/>
          <c:y val="5.2287996374553898E-2"/>
        </c:manualLayout>
      </c:layout>
      <c:overlay val="0"/>
      <c:spPr>
        <a:noFill/>
        <a:ln w="25400">
          <a:noFill/>
        </a:ln>
      </c:spPr>
    </c:title>
    <c:autoTitleDeleted val="0"/>
    <c:plotArea>
      <c:layout>
        <c:manualLayout>
          <c:layoutTarget val="inner"/>
          <c:xMode val="edge"/>
          <c:yMode val="edge"/>
          <c:x val="4.7468427778301431E-2"/>
          <c:y val="0.3267994715039797"/>
          <c:w val="0.90822925149150069"/>
          <c:h val="0.41830332352509397"/>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lgn="ctr" rtl="0">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AppOrg!$A$4</c:f>
              <c:numCache>
                <c:formatCode>0.00</c:formatCode>
                <c:ptCount val="1"/>
                <c:pt idx="0">
                  <c:v>0</c:v>
                </c:pt>
              </c:numCache>
            </c:numRef>
          </c:val>
        </c:ser>
        <c:ser>
          <c:idx val="1"/>
          <c:order val="1"/>
          <c:spPr>
            <a:solidFill>
              <a:srgbClr val="993366"/>
            </a:solidFill>
            <a:ln w="12700">
              <a:solidFill>
                <a:srgbClr val="000000"/>
              </a:solidFill>
              <a:prstDash val="solid"/>
            </a:ln>
          </c:spPr>
          <c:invertIfNegative val="0"/>
          <c:dLbls>
            <c:dLbl>
              <c:idx val="0"/>
              <c:spPr>
                <a:noFill/>
                <a:ln w="25400">
                  <a:noFill/>
                </a:ln>
              </c:spPr>
              <c:txPr>
                <a:bodyPr/>
                <a:lstStyle/>
                <a:p>
                  <a:pPr>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dLbl>
            <c:spPr>
              <a:noFill/>
              <a:ln w="25400">
                <a:noFill/>
              </a:ln>
            </c:spPr>
            <c:txPr>
              <a:bodyPr/>
              <a:lstStyle/>
              <a:p>
                <a:pPr>
                  <a:defRPr sz="5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AppOrg!$A$5</c:f>
              <c:numCache>
                <c:formatCode>0.00</c:formatCode>
                <c:ptCount val="1"/>
                <c:pt idx="0">
                  <c:v>100</c:v>
                </c:pt>
              </c:numCache>
            </c:numRef>
          </c:val>
        </c:ser>
        <c:dLbls>
          <c:showLegendKey val="0"/>
          <c:showVal val="0"/>
          <c:showCatName val="0"/>
          <c:showSerName val="0"/>
          <c:showPercent val="0"/>
          <c:showBubbleSize val="0"/>
        </c:dLbls>
        <c:gapWidth val="150"/>
        <c:axId val="53299840"/>
        <c:axId val="53310208"/>
      </c:barChart>
      <c:catAx>
        <c:axId val="53299840"/>
        <c:scaling>
          <c:orientation val="minMax"/>
        </c:scaling>
        <c:delete val="1"/>
        <c:axPos val="b"/>
        <c:title>
          <c:tx>
            <c:rich>
              <a:bodyPr/>
              <a:lstStyle/>
              <a:p>
                <a:pPr>
                  <a:defRPr sz="1050" b="1" i="0" u="none" strike="noStrike" baseline="0">
                    <a:solidFill>
                      <a:srgbClr val="000000"/>
                    </a:solidFill>
                    <a:latin typeface="Arial"/>
                    <a:ea typeface="Arial"/>
                    <a:cs typeface="Arial"/>
                  </a:defRPr>
                </a:pPr>
                <a:r>
                  <a:t>Capacity Score   Consensus Score</a:t>
                </a:r>
              </a:p>
            </c:rich>
          </c:tx>
          <c:layout>
            <c:manualLayout>
              <c:xMode val="edge"/>
              <c:yMode val="edge"/>
              <c:x val="0.11392395950506186"/>
              <c:y val="0.74510319303612227"/>
            </c:manualLayout>
          </c:layout>
          <c:overlay val="0"/>
          <c:spPr>
            <a:noFill/>
            <a:ln w="25400">
              <a:noFill/>
            </a:ln>
          </c:spPr>
        </c:title>
        <c:majorTickMark val="out"/>
        <c:minorTickMark val="none"/>
        <c:tickLblPos val="nextTo"/>
        <c:crossAx val="53310208"/>
        <c:crosses val="autoZero"/>
        <c:auto val="1"/>
        <c:lblAlgn val="ctr"/>
        <c:lblOffset val="100"/>
        <c:noMultiLvlLbl val="0"/>
      </c:catAx>
      <c:valAx>
        <c:axId val="53310208"/>
        <c:scaling>
          <c:orientation val="minMax"/>
        </c:scaling>
        <c:delete val="1"/>
        <c:axPos val="l"/>
        <c:numFmt formatCode="0.00" sourceLinked="1"/>
        <c:majorTickMark val="out"/>
        <c:minorTickMark val="none"/>
        <c:tickLblPos val="nextTo"/>
        <c:crossAx val="5329984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Gouvernance et Gestion Strategique</a:t>
            </a:r>
          </a:p>
        </c:rich>
      </c:tx>
      <c:layout>
        <c:manualLayout>
          <c:xMode val="edge"/>
          <c:yMode val="edge"/>
          <c:x val="0.1875"/>
          <c:y val="3.3669898405556453E-2"/>
        </c:manualLayout>
      </c:layout>
      <c:overlay val="0"/>
      <c:spPr>
        <a:noFill/>
        <a:ln w="25400">
          <a:noFill/>
        </a:ln>
      </c:spPr>
    </c:title>
    <c:autoTitleDeleted val="0"/>
    <c:plotArea>
      <c:layout>
        <c:manualLayout>
          <c:layoutTarget val="inner"/>
          <c:xMode val="edge"/>
          <c:yMode val="edge"/>
          <c:x val="0.16770833333333332"/>
          <c:y val="0.15824915824915825"/>
          <c:w val="0.8208333333333333"/>
          <c:h val="0.53198653198653201"/>
        </c:manualLayout>
      </c:layout>
      <c:barChart>
        <c:barDir val="col"/>
        <c:grouping val="clustered"/>
        <c:varyColors val="0"/>
        <c:ser>
          <c:idx val="0"/>
          <c:order val="0"/>
          <c:tx>
            <c:v>Capacity Score</c:v>
          </c:tx>
          <c:spPr>
            <a:solidFill>
              <a:srgbClr val="9999FF"/>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Gouv!$Y$12:$Y$27</c:f>
              <c:strCache>
                <c:ptCount val="10"/>
                <c:pt idx="0">
                  <c:v>85. Qualité des Rapports Bailleurs</c:v>
                </c:pt>
                <c:pt idx="1">
                  <c:v>86. Rapports répondent aux besoins</c:v>
                </c:pt>
                <c:pt idx="2">
                  <c:v>87. Mobilisation des fonds</c:v>
                </c:pt>
                <c:pt idx="3">
                  <c:v>88. Relations Publiques</c:v>
                </c:pt>
                <c:pt idx="4">
                  <c:v>89. Plaidoyer</c:v>
                </c:pt>
                <c:pt idx="5">
                  <c:v>90. Control Financier</c:v>
                </c:pt>
                <c:pt idx="6">
                  <c:v>91. Definition de Polique</c:v>
                </c:pt>
                <c:pt idx="7">
                  <c:v>92. Direction Strategique</c:v>
                </c:pt>
                <c:pt idx="8">
                  <c:v>93. C.A. Representatif</c:v>
                </c:pt>
                <c:pt idx="9">
                  <c:v>94. Decisions du personnel</c:v>
                </c:pt>
              </c:strCache>
            </c:strRef>
          </c:cat>
          <c:val>
            <c:numRef>
              <c:f>Gouv!$W$12:$W$27</c:f>
              <c:numCache>
                <c:formatCode>0</c:formatCode>
                <c:ptCount val="16"/>
                <c:pt idx="0">
                  <c:v>0</c:v>
                </c:pt>
                <c:pt idx="1">
                  <c:v>0</c:v>
                </c:pt>
                <c:pt idx="2">
                  <c:v>0</c:v>
                </c:pt>
                <c:pt idx="3">
                  <c:v>0</c:v>
                </c:pt>
                <c:pt idx="4">
                  <c:v>0</c:v>
                </c:pt>
                <c:pt idx="5">
                  <c:v>0</c:v>
                </c:pt>
                <c:pt idx="6">
                  <c:v>0</c:v>
                </c:pt>
                <c:pt idx="7">
                  <c:v>0</c:v>
                </c:pt>
                <c:pt idx="8">
                  <c:v>0</c:v>
                </c:pt>
                <c:pt idx="9">
                  <c:v>0</c:v>
                </c:pt>
              </c:numCache>
            </c:numRef>
          </c:val>
        </c:ser>
        <c:ser>
          <c:idx val="1"/>
          <c:order val="1"/>
          <c:tx>
            <c:v>Consensus Score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cat>
            <c:strRef>
              <c:f>Gouv!$Y$12:$Y$27</c:f>
              <c:strCache>
                <c:ptCount val="10"/>
                <c:pt idx="0">
                  <c:v>85. Qualité des Rapports Bailleurs</c:v>
                </c:pt>
                <c:pt idx="1">
                  <c:v>86. Rapports répondent aux besoins</c:v>
                </c:pt>
                <c:pt idx="2">
                  <c:v>87. Mobilisation des fonds</c:v>
                </c:pt>
                <c:pt idx="3">
                  <c:v>88. Relations Publiques</c:v>
                </c:pt>
                <c:pt idx="4">
                  <c:v>89. Plaidoyer</c:v>
                </c:pt>
                <c:pt idx="5">
                  <c:v>90. Control Financier</c:v>
                </c:pt>
                <c:pt idx="6">
                  <c:v>91. Definition de Polique</c:v>
                </c:pt>
                <c:pt idx="7">
                  <c:v>92. Direction Strategique</c:v>
                </c:pt>
                <c:pt idx="8">
                  <c:v>93. C.A. Representatif</c:v>
                </c:pt>
                <c:pt idx="9">
                  <c:v>94. Decisions du personnel</c:v>
                </c:pt>
              </c:strCache>
            </c:strRef>
          </c:cat>
          <c:val>
            <c:numRef>
              <c:f>Gouv!$X$12:$X$27</c:f>
              <c:numCache>
                <c:formatCode>0</c:formatCode>
                <c:ptCount val="16"/>
                <c:pt idx="0">
                  <c:v>100</c:v>
                </c:pt>
                <c:pt idx="1">
                  <c:v>100</c:v>
                </c:pt>
                <c:pt idx="2">
                  <c:v>100</c:v>
                </c:pt>
                <c:pt idx="3">
                  <c:v>100</c:v>
                </c:pt>
                <c:pt idx="4">
                  <c:v>100</c:v>
                </c:pt>
                <c:pt idx="5">
                  <c:v>100</c:v>
                </c:pt>
                <c:pt idx="6">
                  <c:v>100</c:v>
                </c:pt>
                <c:pt idx="7">
                  <c:v>100</c:v>
                </c:pt>
                <c:pt idx="8">
                  <c:v>100</c:v>
                </c:pt>
                <c:pt idx="9">
                  <c:v>100</c:v>
                </c:pt>
              </c:numCache>
            </c:numRef>
          </c:val>
        </c:ser>
        <c:dLbls>
          <c:showLegendKey val="0"/>
          <c:showVal val="0"/>
          <c:showCatName val="0"/>
          <c:showSerName val="0"/>
          <c:showPercent val="0"/>
          <c:showBubbleSize val="0"/>
        </c:dLbls>
        <c:gapWidth val="150"/>
        <c:axId val="53336704"/>
        <c:axId val="53350784"/>
      </c:barChart>
      <c:catAx>
        <c:axId val="5333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fr-FR"/>
          </a:p>
        </c:txPr>
        <c:crossAx val="53350784"/>
        <c:crosses val="autoZero"/>
        <c:auto val="1"/>
        <c:lblAlgn val="ctr"/>
        <c:lblOffset val="100"/>
        <c:tickLblSkip val="1"/>
        <c:tickMarkSkip val="1"/>
        <c:noMultiLvlLbl val="0"/>
      </c:catAx>
      <c:valAx>
        <c:axId val="53350784"/>
        <c:scaling>
          <c:orientation val="minMax"/>
          <c:max val="100"/>
          <c:min val="20"/>
        </c:scaling>
        <c:delete val="0"/>
        <c:axPos val="l"/>
        <c:majorGridlines>
          <c:spPr>
            <a:ln w="3175">
              <a:solidFill>
                <a:srgbClr val="FFFFFF"/>
              </a:solidFill>
              <a:prstDash val="solid"/>
            </a:ln>
          </c:spPr>
        </c:majorGridlines>
        <c:title>
          <c:tx>
            <c:rich>
              <a:bodyPr/>
              <a:lstStyle/>
              <a:p>
                <a:pPr>
                  <a:defRPr sz="1000" b="1" i="0" u="none" strike="noStrike" baseline="0">
                    <a:solidFill>
                      <a:srgbClr val="000000"/>
                    </a:solidFill>
                    <a:latin typeface="Arial"/>
                    <a:ea typeface="Arial"/>
                    <a:cs typeface="Arial"/>
                  </a:defRPr>
                </a:pPr>
                <a:r>
                  <a:t>Score</a:t>
                </a:r>
              </a:p>
            </c:rich>
          </c:tx>
          <c:layout>
            <c:manualLayout>
              <c:xMode val="edge"/>
              <c:yMode val="edge"/>
              <c:x val="7.2916666666666668E-3"/>
              <c:y val="0.3905724284464441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53336704"/>
        <c:crosses val="autoZero"/>
        <c:crossBetween val="between"/>
        <c:majorUnit val="20"/>
        <c:minorUnit val="10"/>
      </c:valAx>
      <c:spPr>
        <a:solidFill>
          <a:srgbClr val="C0C0C0"/>
        </a:solidFill>
        <a:ln w="12700">
          <a:solidFill>
            <a:srgbClr val="808080"/>
          </a:solidFill>
          <a:prstDash val="solid"/>
        </a:ln>
      </c:spPr>
    </c:plotArea>
    <c:legend>
      <c:legendPos val="r"/>
      <c:layout>
        <c:manualLayout>
          <c:xMode val="edge"/>
          <c:yMode val="edge"/>
          <c:wMode val="edge"/>
          <c:hMode val="edge"/>
          <c:x val="0"/>
          <c:y val="0.19360276394022177"/>
          <c:w val="0.28854166666666664"/>
          <c:h val="0.23400682057599945"/>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Total Scores</a:t>
            </a:r>
          </a:p>
        </c:rich>
      </c:tx>
      <c:layout>
        <c:manualLayout>
          <c:xMode val="edge"/>
          <c:yMode val="edge"/>
          <c:x val="0.35483942885517689"/>
          <c:y val="5.8823206800642458E-2"/>
        </c:manualLayout>
      </c:layout>
      <c:overlay val="0"/>
      <c:spPr>
        <a:noFill/>
        <a:ln w="25400">
          <a:noFill/>
        </a:ln>
      </c:spPr>
    </c:title>
    <c:autoTitleDeleted val="0"/>
    <c:plotArea>
      <c:layout>
        <c:manualLayout>
          <c:layoutTarget val="inner"/>
          <c:xMode val="edge"/>
          <c:yMode val="edge"/>
          <c:x val="4.8387172988868743E-2"/>
          <c:y val="0.32353057333759383"/>
          <c:w val="0.90645304065814114"/>
          <c:h val="0.39706024909613791"/>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lgn="ctr" rtl="0">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Gouv!$A$4</c:f>
              <c:numCache>
                <c:formatCode>0.00</c:formatCode>
                <c:ptCount val="1"/>
                <c:pt idx="0">
                  <c:v>0</c:v>
                </c:pt>
              </c:numCache>
            </c:numRef>
          </c:val>
        </c:ser>
        <c:ser>
          <c:idx val="1"/>
          <c:order val="1"/>
          <c:spPr>
            <a:solidFill>
              <a:srgbClr val="993366"/>
            </a:solidFill>
            <a:ln w="12700">
              <a:solidFill>
                <a:srgbClr val="000000"/>
              </a:solidFill>
              <a:prstDash val="solid"/>
            </a:ln>
          </c:spPr>
          <c:invertIfNegative val="0"/>
          <c:dLbls>
            <c:dLbl>
              <c:idx val="0"/>
              <c:spPr>
                <a:noFill/>
                <a:ln w="25400">
                  <a:noFill/>
                </a:ln>
              </c:spPr>
              <c:txPr>
                <a:bodyPr/>
                <a:lstStyle/>
                <a:p>
                  <a:pPr>
                    <a:defRPr sz="120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dLbl>
            <c:spPr>
              <a:noFill/>
              <a:ln w="25400">
                <a:noFill/>
              </a:ln>
            </c:spPr>
            <c:txPr>
              <a:bodyPr/>
              <a:lstStyle/>
              <a:p>
                <a:pPr>
                  <a:defRPr sz="450"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dLbls>
          <c:val>
            <c:numRef>
              <c:f>Gouv!$A$5</c:f>
              <c:numCache>
                <c:formatCode>0.00</c:formatCode>
                <c:ptCount val="1"/>
                <c:pt idx="0">
                  <c:v>100</c:v>
                </c:pt>
              </c:numCache>
            </c:numRef>
          </c:val>
        </c:ser>
        <c:dLbls>
          <c:showLegendKey val="0"/>
          <c:showVal val="0"/>
          <c:showCatName val="0"/>
          <c:showSerName val="0"/>
          <c:showPercent val="0"/>
          <c:showBubbleSize val="0"/>
        </c:dLbls>
        <c:gapWidth val="150"/>
        <c:axId val="53406336"/>
        <c:axId val="63263488"/>
      </c:barChart>
      <c:catAx>
        <c:axId val="53406336"/>
        <c:scaling>
          <c:orientation val="minMax"/>
        </c:scaling>
        <c:delete val="1"/>
        <c:axPos val="b"/>
        <c:title>
          <c:tx>
            <c:rich>
              <a:bodyPr/>
              <a:lstStyle/>
              <a:p>
                <a:pPr>
                  <a:defRPr sz="950" b="1" i="0" u="none" strike="noStrike" baseline="0">
                    <a:solidFill>
                      <a:srgbClr val="000000"/>
                    </a:solidFill>
                    <a:latin typeface="Arial"/>
                    <a:ea typeface="Arial"/>
                    <a:cs typeface="Arial"/>
                  </a:defRPr>
                </a:pPr>
                <a:r>
                  <a:t>Capacity Score   Consensus Score</a:t>
                </a:r>
              </a:p>
            </c:rich>
          </c:tx>
          <c:layout>
            <c:manualLayout>
              <c:xMode val="edge"/>
              <c:yMode val="edge"/>
              <c:x val="0.14516158453166328"/>
              <c:y val="0.72059153053629488"/>
            </c:manualLayout>
          </c:layout>
          <c:overlay val="0"/>
          <c:spPr>
            <a:noFill/>
            <a:ln w="25400">
              <a:noFill/>
            </a:ln>
          </c:spPr>
        </c:title>
        <c:majorTickMark val="out"/>
        <c:minorTickMark val="none"/>
        <c:tickLblPos val="nextTo"/>
        <c:crossAx val="63263488"/>
        <c:crosses val="autoZero"/>
        <c:auto val="1"/>
        <c:lblAlgn val="ctr"/>
        <c:lblOffset val="100"/>
        <c:noMultiLvlLbl val="0"/>
      </c:catAx>
      <c:valAx>
        <c:axId val="63263488"/>
        <c:scaling>
          <c:orientation val="minMax"/>
        </c:scaling>
        <c:delete val="1"/>
        <c:axPos val="l"/>
        <c:numFmt formatCode="0.00" sourceLinked="1"/>
        <c:majorTickMark val="out"/>
        <c:minorTickMark val="none"/>
        <c:tickLblPos val="nextTo"/>
        <c:crossAx val="5340633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Grafiek31111"/>
  <sheetViews>
    <sheetView workbookViewId="0"/>
  </sheetViews>
  <pageMargins left="0.78740157499999996" right="0.78740157499999996" top="0.984251969" bottom="0.984251969"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2"/>
  <sheetViews>
    <sheetView zoomScale="85" workbookViewId="0"/>
  </sheetViews>
  <pageMargins left="0.78740157499999996" right="0.78740157499999996" top="0.984251969" bottom="0.984251969" header="0.5" footer="0.5"/>
  <pageSetup paperSize="9"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sheetPr codeName="Grafiek3"/>
  <sheetViews>
    <sheetView zoomScale="85" workbookViewId="0"/>
  </sheetViews>
  <pageMargins left="0.78740157499999996" right="0.78740157499999996" top="0.984251969" bottom="0.984251969" header="0.5" footer="0.5"/>
  <pageSetup paperSize="9" orientation="landscape" r:id="rId1"/>
  <headerFooter alignWithMargins="0"/>
  <drawing r:id="rId2"/>
</chartsheet>
</file>

<file path=xl/chartsheets/sheet4.xml><?xml version="1.0" encoding="utf-8"?>
<chartsheet xmlns="http://schemas.openxmlformats.org/spreadsheetml/2006/main" xmlns:r="http://schemas.openxmlformats.org/officeDocument/2006/relationships">
  <sheetPr codeName="Grafiek31"/>
  <sheetViews>
    <sheetView zoomScale="85" workbookViewId="0"/>
  </sheetViews>
  <pageMargins left="0.78740157499999996" right="0.78740157499999996" top="0.984251969" bottom="0.984251969" header="0.5" footer="0.5"/>
  <pageSetup paperSize="9"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sheetPr codeName="Grafiek311"/>
  <sheetViews>
    <sheetView zoomScale="85" workbookViewId="0"/>
  </sheetViews>
  <pageMargins left="0.78740157499999996" right="0.78740157499999996" top="0.984251969" bottom="0.984251969" header="0.5" footer="0.5"/>
  <pageSetup paperSize="9"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sheetPr codeName="Grafiek3111"/>
  <sheetViews>
    <sheetView zoomScale="85" workbookViewId="0"/>
  </sheetViews>
  <pageMargins left="0.78740157499999996" right="0.78740157499999996" top="0.984251969" bottom="0.984251969" header="0.5" footer="0.5"/>
  <pageSetup paperSize="9" orientation="landscape" r:id="rId1"/>
  <headerFooter alignWithMargins="0"/>
  <drawing r:id="rId2"/>
</chartsheet>
</file>

<file path=xl/chartsheets/sheet7.xml><?xml version="1.0" encoding="utf-8"?>
<chartsheet xmlns="http://schemas.openxmlformats.org/spreadsheetml/2006/main" xmlns:r="http://schemas.openxmlformats.org/officeDocument/2006/relationships">
  <sheetPr codeName="Grafiek32"/>
  <sheetViews>
    <sheetView workbookViewId="0"/>
  </sheetViews>
  <pageMargins left="0.78740157499999996" right="0.78740157499999996" top="0.984251969" bottom="0.984251969" header="0.5" footer="0.5"/>
  <pageSetup paperSize="9" orientation="landscape" r:id="rId1"/>
  <headerFooter alignWithMargins="0"/>
  <drawing r:id="rId2"/>
</chartsheet>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123825</xdr:rowOff>
    </xdr:from>
    <xdr:to>
      <xdr:col>6</xdr:col>
      <xdr:colOff>342900</xdr:colOff>
      <xdr:row>33</xdr:row>
      <xdr:rowOff>152400</xdr:rowOff>
    </xdr:to>
    <xdr:graphicFrame macro="">
      <xdr:nvGraphicFramePr>
        <xdr:cNvPr id="2471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542925</xdr:colOff>
      <xdr:row>12</xdr:row>
      <xdr:rowOff>123825</xdr:rowOff>
    </xdr:from>
    <xdr:to>
      <xdr:col>14</xdr:col>
      <xdr:colOff>0</xdr:colOff>
      <xdr:row>33</xdr:row>
      <xdr:rowOff>152400</xdr:rowOff>
    </xdr:to>
    <xdr:graphicFrame macro="">
      <xdr:nvGraphicFramePr>
        <xdr:cNvPr id="2471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533400</xdr:colOff>
      <xdr:row>35</xdr:row>
      <xdr:rowOff>28575</xdr:rowOff>
    </xdr:from>
    <xdr:to>
      <xdr:col>13</xdr:col>
      <xdr:colOff>581025</xdr:colOff>
      <xdr:row>52</xdr:row>
      <xdr:rowOff>152400</xdr:rowOff>
    </xdr:to>
    <xdr:graphicFrame macro="">
      <xdr:nvGraphicFramePr>
        <xdr:cNvPr id="2471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0.01185</cdr:x>
      <cdr:y>0.14219</cdr:y>
    </cdr:from>
    <cdr:to>
      <cdr:x>0.06164</cdr:x>
      <cdr:y>0.20029</cdr:y>
    </cdr:to>
    <cdr:sp macro="" textlink="">
      <cdr:nvSpPr>
        <cdr:cNvPr id="25603" name="Rectangle 3"/>
        <cdr:cNvSpPr>
          <a:spLocks xmlns:a="http://schemas.openxmlformats.org/drawingml/2006/main" noChangeArrowheads="1"/>
        </cdr:cNvSpPr>
      </cdr:nvSpPr>
      <cdr:spPr bwMode="auto">
        <a:xfrm xmlns:a="http://schemas.openxmlformats.org/drawingml/2006/main">
          <a:off x="50800" y="492112"/>
          <a:ext cx="200139" cy="19976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lnSpc>
              <a:spcPts val="800"/>
            </a:lnSpc>
            <a:defRPr sz="1000"/>
          </a:pPr>
          <a:r>
            <a:rPr lang="fr-FR" sz="800" b="0" i="0" u="none" strike="noStrike" baseline="0">
              <a:solidFill>
                <a:srgbClr val="000000"/>
              </a:solidFill>
              <a:latin typeface="Arial"/>
              <a:cs typeface="Arial"/>
            </a:rPr>
            <a:t>FRM</a:t>
          </a:r>
          <a:endParaRPr lang="fr-FR" sz="1000" b="0" i="0" u="none" strike="noStrike" baseline="0">
            <a:solidFill>
              <a:srgbClr val="000000"/>
            </a:solidFill>
            <a:latin typeface="Times New Roman"/>
            <a:cs typeface="Times New Roman"/>
          </a:endParaRPr>
        </a:p>
        <a:p xmlns:a="http://schemas.openxmlformats.org/drawingml/2006/main">
          <a:pPr algn="l" rtl="0">
            <a:lnSpc>
              <a:spcPts val="900"/>
            </a:lnSpc>
            <a:defRPr sz="1000"/>
          </a:pPr>
          <a:endParaRPr lang="fr-FR" sz="10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0.01185</cdr:x>
      <cdr:y>0.07438</cdr:y>
    </cdr:from>
    <cdr:to>
      <cdr:x>0.08068</cdr:x>
      <cdr:y>0.11594</cdr:y>
    </cdr:to>
    <cdr:sp macro="" textlink="">
      <cdr:nvSpPr>
        <cdr:cNvPr id="25604" name="Rectangle 4"/>
        <cdr:cNvSpPr>
          <a:spLocks xmlns:a="http://schemas.openxmlformats.org/drawingml/2006/main" noChangeArrowheads="1"/>
        </cdr:cNvSpPr>
      </cdr:nvSpPr>
      <cdr:spPr bwMode="auto">
        <a:xfrm xmlns:a="http://schemas.openxmlformats.org/drawingml/2006/main">
          <a:off x="50800" y="258919"/>
          <a:ext cx="276663" cy="1429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800" b="0" i="0" u="none" strike="noStrike" baseline="0">
              <a:solidFill>
                <a:srgbClr val="000000"/>
              </a:solidFill>
              <a:latin typeface="Arial"/>
              <a:cs typeface="Arial"/>
            </a:rPr>
            <a:t>HRM</a:t>
          </a:r>
          <a:endParaRPr lang="fr-FR" sz="1000" b="0" i="0" u="none" strike="noStrike" baseline="0">
            <a:solidFill>
              <a:srgbClr val="000000"/>
            </a:solidFill>
            <a:latin typeface="Times New Roman"/>
            <a:cs typeface="Times New Roman"/>
          </a:endParaRPr>
        </a:p>
        <a:p xmlns:a="http://schemas.openxmlformats.org/drawingml/2006/main">
          <a:pPr algn="l" rtl="0">
            <a:defRPr sz="1000"/>
          </a:pPr>
          <a:endParaRPr lang="fr-FR" sz="10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0.01185</cdr:x>
      <cdr:y>0.20077</cdr:y>
    </cdr:from>
    <cdr:to>
      <cdr:x>0.08068</cdr:x>
      <cdr:y>0.24234</cdr:y>
    </cdr:to>
    <cdr:sp macro="" textlink="">
      <cdr:nvSpPr>
        <cdr:cNvPr id="25606" name="Rectangle 6"/>
        <cdr:cNvSpPr>
          <a:spLocks xmlns:a="http://schemas.openxmlformats.org/drawingml/2006/main" noChangeArrowheads="1"/>
        </cdr:cNvSpPr>
      </cdr:nvSpPr>
      <cdr:spPr bwMode="auto">
        <a:xfrm xmlns:a="http://schemas.openxmlformats.org/drawingml/2006/main">
          <a:off x="50800" y="693545"/>
          <a:ext cx="276663" cy="1429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800" b="0" i="0" u="none" strike="noStrike" baseline="0">
              <a:solidFill>
                <a:srgbClr val="000000"/>
              </a:solidFill>
              <a:latin typeface="Arial"/>
              <a:cs typeface="Arial"/>
            </a:rPr>
            <a:t>Partn.</a:t>
          </a:r>
          <a:endParaRPr lang="fr-FR" sz="1000" b="0" i="0" u="none" strike="noStrike" baseline="0">
            <a:solidFill>
              <a:srgbClr val="000000"/>
            </a:solidFill>
            <a:latin typeface="Times New Roman"/>
            <a:cs typeface="Times New Roman"/>
          </a:endParaRPr>
        </a:p>
        <a:p xmlns:a="http://schemas.openxmlformats.org/drawingml/2006/main">
          <a:pPr algn="l" rtl="0">
            <a:defRPr sz="1000"/>
          </a:pPr>
          <a:endParaRPr lang="fr-FR" sz="10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0.01185</cdr:x>
      <cdr:y>0.26446</cdr:y>
    </cdr:from>
    <cdr:to>
      <cdr:x>0.08068</cdr:x>
      <cdr:y>0.30603</cdr:y>
    </cdr:to>
    <cdr:sp macro="" textlink="">
      <cdr:nvSpPr>
        <cdr:cNvPr id="25607" name="Rectangle 7"/>
        <cdr:cNvSpPr>
          <a:spLocks xmlns:a="http://schemas.openxmlformats.org/drawingml/2006/main" noChangeArrowheads="1"/>
        </cdr:cNvSpPr>
      </cdr:nvSpPr>
      <cdr:spPr bwMode="auto">
        <a:xfrm xmlns:a="http://schemas.openxmlformats.org/drawingml/2006/main">
          <a:off x="50800" y="912529"/>
          <a:ext cx="276663" cy="1429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800" b="0" i="0" u="none" strike="noStrike" baseline="0">
              <a:solidFill>
                <a:srgbClr val="000000"/>
              </a:solidFill>
              <a:latin typeface="Arial"/>
              <a:cs typeface="Arial"/>
            </a:rPr>
            <a:t>Sust</a:t>
          </a:r>
          <a:endParaRPr lang="fr-FR" sz="1000" b="0" i="0" u="none" strike="noStrike" baseline="0">
            <a:solidFill>
              <a:srgbClr val="000000"/>
            </a:solidFill>
            <a:latin typeface="Times New Roman"/>
            <a:cs typeface="Times New Roman"/>
          </a:endParaRPr>
        </a:p>
        <a:p xmlns:a="http://schemas.openxmlformats.org/drawingml/2006/main">
          <a:pPr algn="l" rtl="0">
            <a:defRPr sz="1000"/>
          </a:pPr>
          <a:endParaRPr lang="fr-FR" sz="10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0.20564</cdr:x>
      <cdr:y>0.01385</cdr:y>
    </cdr:from>
    <cdr:to>
      <cdr:x>0.26495</cdr:x>
      <cdr:y>0.05542</cdr:y>
    </cdr:to>
    <cdr:sp macro="" textlink="">
      <cdr:nvSpPr>
        <cdr:cNvPr id="25608" name="Rectangle 8"/>
        <cdr:cNvSpPr>
          <a:spLocks xmlns:a="http://schemas.openxmlformats.org/drawingml/2006/main" noChangeArrowheads="1"/>
        </cdr:cNvSpPr>
      </cdr:nvSpPr>
      <cdr:spPr bwMode="auto">
        <a:xfrm xmlns:a="http://schemas.openxmlformats.org/drawingml/2006/main">
          <a:off x="829774" y="50800"/>
          <a:ext cx="238401" cy="1429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800" b="0" i="0" u="none" strike="noStrike" baseline="0">
              <a:solidFill>
                <a:srgbClr val="000000"/>
              </a:solidFill>
              <a:latin typeface="Arial"/>
              <a:cs typeface="Arial"/>
            </a:rPr>
            <a:t>Gov</a:t>
          </a:r>
          <a:endParaRPr lang="fr-FR" sz="1000" b="0" i="0" u="none" strike="noStrike" baseline="0">
            <a:solidFill>
              <a:srgbClr val="000000"/>
            </a:solidFill>
            <a:latin typeface="Times New Roman"/>
            <a:cs typeface="Times New Roman"/>
          </a:endParaRPr>
        </a:p>
        <a:p xmlns:a="http://schemas.openxmlformats.org/drawingml/2006/main">
          <a:pPr algn="l" rtl="0">
            <a:defRPr sz="1000"/>
          </a:pPr>
          <a:endParaRPr lang="fr-FR" sz="10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0.294</cdr:x>
      <cdr:y>0.01385</cdr:y>
    </cdr:from>
    <cdr:to>
      <cdr:x>0.39114</cdr:x>
      <cdr:y>0.05542</cdr:y>
    </cdr:to>
    <cdr:sp macro="" textlink="">
      <cdr:nvSpPr>
        <cdr:cNvPr id="25609" name="Rectangle 9"/>
        <cdr:cNvSpPr>
          <a:spLocks xmlns:a="http://schemas.openxmlformats.org/drawingml/2006/main" noChangeArrowheads="1"/>
        </cdr:cNvSpPr>
      </cdr:nvSpPr>
      <cdr:spPr bwMode="auto">
        <a:xfrm xmlns:a="http://schemas.openxmlformats.org/drawingml/2006/main">
          <a:off x="1184923" y="50800"/>
          <a:ext cx="390468" cy="1429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800" b="0" i="0" u="none" strike="noStrike" baseline="0">
              <a:solidFill>
                <a:srgbClr val="000000"/>
              </a:solidFill>
              <a:latin typeface="Arial"/>
              <a:cs typeface="Arial"/>
            </a:rPr>
            <a:t>Eq.Part.</a:t>
          </a:r>
          <a:endParaRPr lang="fr-FR" sz="1000" b="0" i="0" u="none" strike="noStrike" baseline="0">
            <a:solidFill>
              <a:srgbClr val="000000"/>
            </a:solidFill>
            <a:latin typeface="Times New Roman"/>
            <a:cs typeface="Times New Roman"/>
          </a:endParaRPr>
        </a:p>
        <a:p xmlns:a="http://schemas.openxmlformats.org/drawingml/2006/main">
          <a:pPr algn="l" rtl="0">
            <a:defRPr sz="1000"/>
          </a:pPr>
          <a:endParaRPr lang="fr-FR" sz="10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0.01185</cdr:x>
      <cdr:y>0.01385</cdr:y>
    </cdr:from>
    <cdr:to>
      <cdr:x>0.04968</cdr:x>
      <cdr:y>0.05542</cdr:y>
    </cdr:to>
    <cdr:sp macro="" textlink="">
      <cdr:nvSpPr>
        <cdr:cNvPr id="25610" name="Rectangle 10"/>
        <cdr:cNvSpPr>
          <a:spLocks xmlns:a="http://schemas.openxmlformats.org/drawingml/2006/main" noChangeArrowheads="1"/>
        </cdr:cNvSpPr>
      </cdr:nvSpPr>
      <cdr:spPr bwMode="auto">
        <a:xfrm xmlns:a="http://schemas.openxmlformats.org/drawingml/2006/main">
          <a:off x="50800" y="50800"/>
          <a:ext cx="152067" cy="1429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800" b="0" i="0" u="none" strike="noStrike" baseline="0">
              <a:solidFill>
                <a:srgbClr val="000000"/>
              </a:solidFill>
              <a:latin typeface="Arial"/>
              <a:cs typeface="Arial"/>
            </a:rPr>
            <a:t>OL</a:t>
          </a:r>
        </a:p>
      </cdr:txBody>
    </cdr:sp>
  </cdr:relSizeAnchor>
  <cdr:relSizeAnchor xmlns:cdr="http://schemas.openxmlformats.org/drawingml/2006/chartDrawing">
    <cdr:from>
      <cdr:x>0.13901</cdr:x>
      <cdr:y>0.76738</cdr:y>
    </cdr:from>
    <cdr:to>
      <cdr:x>0.29302</cdr:x>
      <cdr:y>0.82548</cdr:y>
    </cdr:to>
    <cdr:sp macro="" textlink="">
      <cdr:nvSpPr>
        <cdr:cNvPr id="25611" name="Rectangle 11"/>
        <cdr:cNvSpPr>
          <a:spLocks xmlns:a="http://schemas.openxmlformats.org/drawingml/2006/main" noChangeArrowheads="1"/>
        </cdr:cNvSpPr>
      </cdr:nvSpPr>
      <cdr:spPr bwMode="auto">
        <a:xfrm xmlns:a="http://schemas.openxmlformats.org/drawingml/2006/main">
          <a:off x="561940" y="2641838"/>
          <a:ext cx="619058" cy="19976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600" b="0" i="0" u="none" strike="noStrike" baseline="0">
              <a:solidFill>
                <a:srgbClr val="000000"/>
              </a:solidFill>
              <a:latin typeface="Arial"/>
              <a:cs typeface="Arial"/>
            </a:rPr>
            <a:t>Faible capacite/</a:t>
          </a:r>
        </a:p>
        <a:p xmlns:a="http://schemas.openxmlformats.org/drawingml/2006/main">
          <a:pPr algn="l" rtl="0">
            <a:defRPr sz="1000"/>
          </a:pPr>
          <a:r>
            <a:rPr lang="fr-FR" sz="600" b="0" i="0" u="none" strike="noStrike" baseline="0">
              <a:solidFill>
                <a:srgbClr val="000000"/>
              </a:solidFill>
              <a:latin typeface="Arial"/>
              <a:cs typeface="Arial"/>
            </a:rPr>
            <a:t>faible consensus</a:t>
          </a:r>
        </a:p>
      </cdr:txBody>
    </cdr:sp>
  </cdr:relSizeAnchor>
  <cdr:relSizeAnchor xmlns:cdr="http://schemas.openxmlformats.org/drawingml/2006/chartDrawing">
    <cdr:from>
      <cdr:x>0.7946</cdr:x>
      <cdr:y>0.75401</cdr:y>
    </cdr:from>
    <cdr:to>
      <cdr:x>0.94861</cdr:x>
      <cdr:y>0.82329</cdr:y>
    </cdr:to>
    <cdr:sp macro="" textlink="">
      <cdr:nvSpPr>
        <cdr:cNvPr id="25614" name="Rectangle 14"/>
        <cdr:cNvSpPr>
          <a:spLocks xmlns:a="http://schemas.openxmlformats.org/drawingml/2006/main" noChangeArrowheads="1"/>
        </cdr:cNvSpPr>
      </cdr:nvSpPr>
      <cdr:spPr bwMode="auto">
        <a:xfrm xmlns:a="http://schemas.openxmlformats.org/drawingml/2006/main">
          <a:off x="3197108" y="2595868"/>
          <a:ext cx="619058" cy="2382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600" b="0" i="0" u="none" strike="noStrike" baseline="0">
              <a:solidFill>
                <a:srgbClr val="000000"/>
              </a:solidFill>
              <a:latin typeface="Arial"/>
              <a:cs typeface="Arial"/>
            </a:rPr>
            <a:t>capacite eleve /</a:t>
          </a:r>
        </a:p>
        <a:p xmlns:a="http://schemas.openxmlformats.org/drawingml/2006/main">
          <a:pPr algn="l" rtl="0">
            <a:defRPr sz="1000"/>
          </a:pPr>
          <a:r>
            <a:rPr lang="fr-FR" sz="600" b="0" i="0" u="none" strike="noStrike" baseline="0">
              <a:solidFill>
                <a:srgbClr val="000000"/>
              </a:solidFill>
              <a:latin typeface="Arial"/>
              <a:cs typeface="Arial"/>
            </a:rPr>
            <a:t>faible consensus /</a:t>
          </a:r>
        </a:p>
        <a:p xmlns:a="http://schemas.openxmlformats.org/drawingml/2006/main">
          <a:pPr algn="l" rtl="0">
            <a:defRPr sz="1000"/>
          </a:pPr>
          <a:endParaRPr lang="fr-FR" sz="600" b="0" i="0" u="none" strike="noStrike" baseline="0">
            <a:solidFill>
              <a:srgbClr val="000000"/>
            </a:solidFill>
            <a:latin typeface="Arial"/>
            <a:cs typeface="Arial"/>
          </a:endParaRPr>
        </a:p>
      </cdr:txBody>
    </cdr:sp>
  </cdr:relSizeAnchor>
  <cdr:relSizeAnchor xmlns:cdr="http://schemas.openxmlformats.org/drawingml/2006/chartDrawing">
    <cdr:from>
      <cdr:x>0.7946</cdr:x>
      <cdr:y>0.14001</cdr:y>
    </cdr:from>
    <cdr:to>
      <cdr:x>0.94861</cdr:x>
      <cdr:y>0.1981</cdr:y>
    </cdr:to>
    <cdr:sp macro="" textlink="">
      <cdr:nvSpPr>
        <cdr:cNvPr id="25615" name="Rectangle 15"/>
        <cdr:cNvSpPr>
          <a:spLocks xmlns:a="http://schemas.openxmlformats.org/drawingml/2006/main" noChangeArrowheads="1"/>
        </cdr:cNvSpPr>
      </cdr:nvSpPr>
      <cdr:spPr bwMode="auto">
        <a:xfrm xmlns:a="http://schemas.openxmlformats.org/drawingml/2006/main">
          <a:off x="3197108" y="484590"/>
          <a:ext cx="619058" cy="19976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600" b="0" i="0" u="none" strike="noStrike" baseline="0">
              <a:solidFill>
                <a:srgbClr val="000000"/>
              </a:solidFill>
              <a:latin typeface="Arial"/>
              <a:cs typeface="Arial"/>
            </a:rPr>
            <a:t>Capacite eleve /</a:t>
          </a:r>
        </a:p>
        <a:p xmlns:a="http://schemas.openxmlformats.org/drawingml/2006/main">
          <a:pPr algn="l" rtl="0">
            <a:defRPr sz="1000"/>
          </a:pPr>
          <a:r>
            <a:rPr lang="fr-FR" sz="600" b="0" i="0" u="none" strike="noStrike" baseline="0">
              <a:solidFill>
                <a:srgbClr val="000000"/>
              </a:solidFill>
              <a:latin typeface="Arial"/>
              <a:cs typeface="Arial"/>
            </a:rPr>
            <a:t>Consensus eleve</a:t>
          </a:r>
        </a:p>
      </cdr:txBody>
    </cdr:sp>
  </cdr:relSizeAnchor>
  <cdr:relSizeAnchor xmlns:cdr="http://schemas.openxmlformats.org/drawingml/2006/chartDrawing">
    <cdr:from>
      <cdr:x>0.13901</cdr:x>
      <cdr:y>0.14001</cdr:y>
    </cdr:from>
    <cdr:to>
      <cdr:x>0.29302</cdr:x>
      <cdr:y>0.1981</cdr:y>
    </cdr:to>
    <cdr:sp macro="" textlink="">
      <cdr:nvSpPr>
        <cdr:cNvPr id="25616" name="Rectangle 16"/>
        <cdr:cNvSpPr>
          <a:spLocks xmlns:a="http://schemas.openxmlformats.org/drawingml/2006/main" noChangeArrowheads="1"/>
        </cdr:cNvSpPr>
      </cdr:nvSpPr>
      <cdr:spPr bwMode="auto">
        <a:xfrm xmlns:a="http://schemas.openxmlformats.org/drawingml/2006/main">
          <a:off x="561940" y="484590"/>
          <a:ext cx="619058" cy="19976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600" b="0" i="0" u="none" strike="noStrike" baseline="0">
              <a:solidFill>
                <a:srgbClr val="000000"/>
              </a:solidFill>
              <a:latin typeface="Arial"/>
              <a:cs typeface="Arial"/>
            </a:rPr>
            <a:t>Faible capacite /</a:t>
          </a:r>
        </a:p>
        <a:p xmlns:a="http://schemas.openxmlformats.org/drawingml/2006/main">
          <a:pPr algn="l" rtl="0">
            <a:defRPr sz="1000"/>
          </a:pPr>
          <a:r>
            <a:rPr lang="fr-FR" sz="600" b="0" i="0" u="none" strike="noStrike" baseline="0">
              <a:solidFill>
                <a:srgbClr val="000000"/>
              </a:solidFill>
              <a:latin typeface="Arial"/>
              <a:cs typeface="Arial"/>
            </a:rPr>
            <a:t>Consensus eleve</a:t>
          </a:r>
        </a:p>
      </cdr:txBody>
    </cdr:sp>
  </cdr:relSizeAnchor>
  <cdr:relSizeAnchor xmlns:cdr="http://schemas.openxmlformats.org/drawingml/2006/chartDrawing">
    <cdr:from>
      <cdr:x>0.36893</cdr:x>
      <cdr:y>0.07438</cdr:y>
    </cdr:from>
    <cdr:to>
      <cdr:x>0.73871</cdr:x>
      <cdr:y>0.14365</cdr:y>
    </cdr:to>
    <cdr:sp macro="" textlink="">
      <cdr:nvSpPr>
        <cdr:cNvPr id="25617" name="Rectangle 17"/>
        <cdr:cNvSpPr>
          <a:spLocks xmlns:a="http://schemas.openxmlformats.org/drawingml/2006/main" noChangeArrowheads="1"/>
        </cdr:cNvSpPr>
      </cdr:nvSpPr>
      <cdr:spPr bwMode="auto">
        <a:xfrm xmlns:a="http://schemas.openxmlformats.org/drawingml/2006/main">
          <a:off x="1486113" y="258919"/>
          <a:ext cx="1486328" cy="2382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ctr" rtl="0">
            <a:defRPr sz="1000"/>
          </a:pPr>
          <a:r>
            <a:rPr lang="fr-FR" sz="800" b="0" i="0" u="none" strike="noStrike" baseline="0">
              <a:solidFill>
                <a:srgbClr val="000000"/>
              </a:solidFill>
              <a:latin typeface="Arial"/>
              <a:cs typeface="Arial"/>
            </a:rPr>
            <a:t>Organisational Capacities</a:t>
          </a:r>
        </a:p>
      </cdr:txBody>
    </cdr:sp>
  </cdr:relSizeAnchor>
  <cdr:relSizeAnchor xmlns:cdr="http://schemas.openxmlformats.org/drawingml/2006/chartDrawing">
    <cdr:from>
      <cdr:x>0.09874</cdr:x>
      <cdr:y>0.01385</cdr:y>
    </cdr:from>
    <cdr:to>
      <cdr:x>0.2054</cdr:x>
      <cdr:y>0.05542</cdr:y>
    </cdr:to>
    <cdr:sp macro="" textlink="">
      <cdr:nvSpPr>
        <cdr:cNvPr id="25618" name="Rectangle 18"/>
        <cdr:cNvSpPr>
          <a:spLocks xmlns:a="http://schemas.openxmlformats.org/drawingml/2006/main" noChangeArrowheads="1"/>
        </cdr:cNvSpPr>
      </cdr:nvSpPr>
      <cdr:spPr bwMode="auto">
        <a:xfrm xmlns:a="http://schemas.openxmlformats.org/drawingml/2006/main">
          <a:off x="400063" y="50800"/>
          <a:ext cx="428729" cy="1429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fr-FR" sz="800" b="0" i="0" u="none" strike="noStrike" baseline="0">
              <a:solidFill>
                <a:srgbClr val="000000"/>
              </a:solidFill>
              <a:latin typeface="Arial"/>
              <a:cs typeface="Arial"/>
            </a:rPr>
            <a:t>Moyenne</a:t>
          </a:r>
          <a:endParaRPr lang="fr-FR" sz="1000" b="0" i="0" u="none" strike="noStrike" baseline="0">
            <a:solidFill>
              <a:srgbClr val="000000"/>
            </a:solidFill>
            <a:latin typeface="Times New Roman"/>
            <a:cs typeface="Times New Roman"/>
          </a:endParaRPr>
        </a:p>
        <a:p xmlns:a="http://schemas.openxmlformats.org/drawingml/2006/main">
          <a:pPr algn="l" rtl="0">
            <a:defRPr sz="1000"/>
          </a:pPr>
          <a:endParaRPr lang="fr-FR" sz="1000" b="0" i="0" u="none" strike="noStrike" baseline="0">
            <a:solidFill>
              <a:srgbClr val="000000"/>
            </a:solidFill>
            <a:latin typeface="Times New Roman"/>
            <a:cs typeface="Times New Roman"/>
          </a:endParaRPr>
        </a:p>
      </cdr:txBody>
    </cdr:sp>
  </cdr:relSizeAnchor>
</c:userShapes>
</file>

<file path=xl/drawings/drawing3.xml><?xml version="1.0" encoding="utf-8"?>
<xdr:wsDr xmlns:xdr="http://schemas.openxmlformats.org/drawingml/2006/spreadsheetDrawing" xmlns:a="http://schemas.openxmlformats.org/drawingml/2006/main">
  <xdr:absoluteAnchor>
    <xdr:pos x="0" y="0"/>
    <xdr:ext cx="9144000" cy="560070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0.70825</cdr:x>
      <cdr:y>0.0045</cdr:y>
    </cdr:from>
    <cdr:to>
      <cdr:x>0.99425</cdr:x>
      <cdr:y>0.268</cdr:y>
    </cdr:to>
    <cdr:graphicFrame macro="">
      <cdr:nvGraphicFramePr>
        <cdr:cNvPr id="21551" name="Chart 47"/>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userShapes>
</file>

<file path=xl/drawings/drawing5.xml><?xml version="1.0" encoding="utf-8"?>
<xdr:wsDr xmlns:xdr="http://schemas.openxmlformats.org/drawingml/2006/spreadsheetDrawing" xmlns:a="http://schemas.openxmlformats.org/drawingml/2006/main">
  <xdr:absoluteAnchor>
    <xdr:pos x="0" y="0"/>
    <xdr:ext cx="9144000" cy="560070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0.24875</cdr:x>
      <cdr:y>0.992</cdr:y>
    </cdr:from>
    <cdr:to>
      <cdr:x>0.24875</cdr:x>
      <cdr:y>0.99375</cdr:y>
    </cdr:to>
    <cdr:sp macro="" textlink="">
      <cdr:nvSpPr>
        <cdr:cNvPr id="3078" name="Line 6"/>
        <cdr:cNvSpPr>
          <a:spLocks xmlns:a="http://schemas.openxmlformats.org/drawingml/2006/main" noChangeShapeType="1"/>
        </cdr:cNvSpPr>
      </cdr:nvSpPr>
      <cdr:spPr bwMode="auto">
        <a:xfrm xmlns:a="http://schemas.openxmlformats.org/drawingml/2006/main" flipV="1">
          <a:off x="2274570" y="5612587"/>
          <a:ext cx="0" cy="990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0.38725</cdr:x>
      <cdr:y>0.992</cdr:y>
    </cdr:from>
    <cdr:to>
      <cdr:x>0.38725</cdr:x>
      <cdr:y>0.99375</cdr:y>
    </cdr:to>
    <cdr:sp macro="" textlink="">
      <cdr:nvSpPr>
        <cdr:cNvPr id="3079" name="Line 7"/>
        <cdr:cNvSpPr>
          <a:spLocks xmlns:a="http://schemas.openxmlformats.org/drawingml/2006/main" noChangeShapeType="1"/>
        </cdr:cNvSpPr>
      </cdr:nvSpPr>
      <cdr:spPr bwMode="auto">
        <a:xfrm xmlns:a="http://schemas.openxmlformats.org/drawingml/2006/main" flipV="1">
          <a:off x="3541014" y="5612587"/>
          <a:ext cx="0" cy="990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0.627</cdr:x>
      <cdr:y>0.99575</cdr:y>
    </cdr:from>
    <cdr:to>
      <cdr:x>0.627</cdr:x>
      <cdr:y>0.997</cdr:y>
    </cdr:to>
    <cdr:sp macro="" textlink="">
      <cdr:nvSpPr>
        <cdr:cNvPr id="3081" name="Line 9"/>
        <cdr:cNvSpPr>
          <a:spLocks xmlns:a="http://schemas.openxmlformats.org/drawingml/2006/main" noChangeShapeType="1"/>
        </cdr:cNvSpPr>
      </cdr:nvSpPr>
      <cdr:spPr bwMode="auto">
        <a:xfrm xmlns:a="http://schemas.openxmlformats.org/drawingml/2006/main" flipV="1">
          <a:off x="5733288" y="5633804"/>
          <a:ext cx="0" cy="707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0.87975</cdr:x>
      <cdr:y>0.99575</cdr:y>
    </cdr:from>
    <cdr:to>
      <cdr:x>0.8815</cdr:x>
      <cdr:y>0.997</cdr:y>
    </cdr:to>
    <cdr:sp macro="" textlink="">
      <cdr:nvSpPr>
        <cdr:cNvPr id="3082" name="Line 10"/>
        <cdr:cNvSpPr>
          <a:spLocks xmlns:a="http://schemas.openxmlformats.org/drawingml/2006/main" noChangeShapeType="1"/>
        </cdr:cNvSpPr>
      </cdr:nvSpPr>
      <cdr:spPr bwMode="auto">
        <a:xfrm xmlns:a="http://schemas.openxmlformats.org/drawingml/2006/main" flipV="1">
          <a:off x="8044434" y="5633804"/>
          <a:ext cx="16002" cy="707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0.5855</cdr:x>
      <cdr:y>0.0045</cdr:y>
    </cdr:from>
    <cdr:to>
      <cdr:x>0.9895</cdr:x>
      <cdr:y>0.211</cdr:y>
    </cdr:to>
    <cdr:graphicFrame macro="">
      <cdr:nvGraphicFramePr>
        <cdr:cNvPr id="3463" name="Chart 391"/>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0.4405</cdr:x>
      <cdr:y>0.992</cdr:y>
    </cdr:from>
    <cdr:to>
      <cdr:x>0.4405</cdr:x>
      <cdr:y>0.99375</cdr:y>
    </cdr:to>
    <cdr:sp macro="" textlink="">
      <cdr:nvSpPr>
        <cdr:cNvPr id="3090" name="Line 18"/>
        <cdr:cNvSpPr>
          <a:spLocks xmlns:a="http://schemas.openxmlformats.org/drawingml/2006/main" noChangeShapeType="1"/>
        </cdr:cNvSpPr>
      </cdr:nvSpPr>
      <cdr:spPr bwMode="auto">
        <a:xfrm xmlns:a="http://schemas.openxmlformats.org/drawingml/2006/main" flipV="1">
          <a:off x="4027932" y="5612587"/>
          <a:ext cx="0" cy="990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0.57975</cdr:x>
      <cdr:y>0.992</cdr:y>
    </cdr:from>
    <cdr:to>
      <cdr:x>0.5815</cdr:x>
      <cdr:y>0.99375</cdr:y>
    </cdr:to>
    <cdr:sp macro="" textlink="">
      <cdr:nvSpPr>
        <cdr:cNvPr id="3091" name="Line 19"/>
        <cdr:cNvSpPr>
          <a:spLocks xmlns:a="http://schemas.openxmlformats.org/drawingml/2006/main" noChangeShapeType="1"/>
        </cdr:cNvSpPr>
      </cdr:nvSpPr>
      <cdr:spPr bwMode="auto">
        <a:xfrm xmlns:a="http://schemas.openxmlformats.org/drawingml/2006/main" flipV="1">
          <a:off x="5301234" y="5612587"/>
          <a:ext cx="16002" cy="990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9144000" cy="560070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0.0065</cdr:x>
      <cdr:y>0.9965</cdr:y>
    </cdr:from>
    <cdr:to>
      <cdr:x>0.0065</cdr:x>
      <cdr:y>0.997</cdr:y>
    </cdr:to>
    <cdr:sp macro="" textlink="">
      <cdr:nvSpPr>
        <cdr:cNvPr id="7172" name="Line 4"/>
        <cdr:cNvSpPr>
          <a:spLocks xmlns:a="http://schemas.openxmlformats.org/drawingml/2006/main" noChangeShapeType="1"/>
        </cdr:cNvSpPr>
      </cdr:nvSpPr>
      <cdr:spPr bwMode="auto">
        <a:xfrm xmlns:a="http://schemas.openxmlformats.org/drawingml/2006/main" flipV="1">
          <a:off x="59436" y="5638048"/>
          <a:ext cx="0" cy="2828"/>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0.16725</cdr:x>
      <cdr:y>0.9965</cdr:y>
    </cdr:from>
    <cdr:to>
      <cdr:x>0.168</cdr:x>
      <cdr:y>0.997</cdr:y>
    </cdr:to>
    <cdr:sp macro="" textlink="">
      <cdr:nvSpPr>
        <cdr:cNvPr id="7173" name="Line 5"/>
        <cdr:cNvSpPr>
          <a:spLocks xmlns:a="http://schemas.openxmlformats.org/drawingml/2006/main" noChangeShapeType="1"/>
        </cdr:cNvSpPr>
      </cdr:nvSpPr>
      <cdr:spPr bwMode="auto">
        <a:xfrm xmlns:a="http://schemas.openxmlformats.org/drawingml/2006/main" flipV="1">
          <a:off x="1529334" y="5638048"/>
          <a:ext cx="6858" cy="2828"/>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0.706</cdr:x>
      <cdr:y>0.00475</cdr:y>
    </cdr:from>
    <cdr:to>
      <cdr:x>0.98975</cdr:x>
      <cdr:y>0.21225</cdr:y>
    </cdr:to>
    <cdr:graphicFrame macro="">
      <cdr:nvGraphicFramePr>
        <cdr:cNvPr id="7331" name="Chart 163"/>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userShapes>
</file>

<file path=xl/drawings/drawing9.xml><?xml version="1.0" encoding="utf-8"?>
<xdr:wsDr xmlns:xdr="http://schemas.openxmlformats.org/drawingml/2006/spreadsheetDrawing" xmlns:a="http://schemas.openxmlformats.org/drawingml/2006/main">
  <xdr:absoluteAnchor>
    <xdr:pos x="0" y="0"/>
    <xdr:ext cx="9144000" cy="560070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0.01225</cdr:x>
      <cdr:y>0.996</cdr:y>
    </cdr:from>
    <cdr:to>
      <cdr:x>0.01275</cdr:x>
      <cdr:y>0.9965</cdr:y>
    </cdr:to>
    <cdr:sp macro="" textlink="">
      <cdr:nvSpPr>
        <cdr:cNvPr id="12291" name="Line 3"/>
        <cdr:cNvSpPr>
          <a:spLocks xmlns:a="http://schemas.openxmlformats.org/drawingml/2006/main" noChangeShapeType="1"/>
        </cdr:cNvSpPr>
      </cdr:nvSpPr>
      <cdr:spPr bwMode="auto">
        <a:xfrm xmlns:a="http://schemas.openxmlformats.org/drawingml/2006/main" flipV="1">
          <a:off x="112014" y="5635219"/>
          <a:ext cx="4572" cy="2829"/>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0.18075</cdr:x>
      <cdr:y>0.996</cdr:y>
    </cdr:from>
    <cdr:to>
      <cdr:x>0.1815</cdr:x>
      <cdr:y>0.9965</cdr:y>
    </cdr:to>
    <cdr:sp macro="" textlink="">
      <cdr:nvSpPr>
        <cdr:cNvPr id="12292" name="Line 4"/>
        <cdr:cNvSpPr>
          <a:spLocks xmlns:a="http://schemas.openxmlformats.org/drawingml/2006/main" noChangeShapeType="1"/>
        </cdr:cNvSpPr>
      </cdr:nvSpPr>
      <cdr:spPr bwMode="auto">
        <a:xfrm xmlns:a="http://schemas.openxmlformats.org/drawingml/2006/main" flipV="1">
          <a:off x="1634490" y="5635219"/>
          <a:ext cx="6858" cy="2829"/>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0.673</cdr:x>
      <cdr:y>0.0045</cdr:y>
    </cdr:from>
    <cdr:to>
      <cdr:x>0.98575</cdr:x>
      <cdr:y>0.2545</cdr:y>
    </cdr:to>
    <cdr:graphicFrame macro="">
      <cdr:nvGraphicFramePr>
        <cdr:cNvPr id="12671" name="Chart 383"/>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0.2085</cdr:x>
      <cdr:y>0.996</cdr:y>
    </cdr:from>
    <cdr:to>
      <cdr:x>0.2085</cdr:x>
      <cdr:y>0.9965</cdr:y>
    </cdr:to>
    <cdr:sp macro="" textlink="">
      <cdr:nvSpPr>
        <cdr:cNvPr id="12296" name="Line 8"/>
        <cdr:cNvSpPr>
          <a:spLocks xmlns:a="http://schemas.openxmlformats.org/drawingml/2006/main" noChangeShapeType="1"/>
        </cdr:cNvSpPr>
      </cdr:nvSpPr>
      <cdr:spPr bwMode="auto">
        <a:xfrm xmlns:a="http://schemas.openxmlformats.org/drawingml/2006/main" flipV="1">
          <a:off x="1906524" y="5635219"/>
          <a:ext cx="0" cy="2829"/>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0.51175</cdr:x>
      <cdr:y>0.996</cdr:y>
    </cdr:from>
    <cdr:to>
      <cdr:x>0.5135</cdr:x>
      <cdr:y>0.9965</cdr:y>
    </cdr:to>
    <cdr:sp macro="" textlink="">
      <cdr:nvSpPr>
        <cdr:cNvPr id="12297" name="Line 9"/>
        <cdr:cNvSpPr>
          <a:spLocks xmlns:a="http://schemas.openxmlformats.org/drawingml/2006/main" noChangeShapeType="1"/>
        </cdr:cNvSpPr>
      </cdr:nvSpPr>
      <cdr:spPr bwMode="auto">
        <a:xfrm xmlns:a="http://schemas.openxmlformats.org/drawingml/2006/main" flipV="1">
          <a:off x="4679442" y="5635219"/>
          <a:ext cx="16002" cy="2829"/>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0.53725</cdr:x>
      <cdr:y>0.9955</cdr:y>
    </cdr:from>
    <cdr:to>
      <cdr:x>0.53725</cdr:x>
      <cdr:y>0.9965</cdr:y>
    </cdr:to>
    <cdr:sp macro="" textlink="">
      <cdr:nvSpPr>
        <cdr:cNvPr id="12300" name="Line 12"/>
        <cdr:cNvSpPr>
          <a:spLocks xmlns:a="http://schemas.openxmlformats.org/drawingml/2006/main" noChangeShapeType="1"/>
        </cdr:cNvSpPr>
      </cdr:nvSpPr>
      <cdr:spPr bwMode="auto">
        <a:xfrm xmlns:a="http://schemas.openxmlformats.org/drawingml/2006/main" flipV="1">
          <a:off x="4912614" y="5632390"/>
          <a:ext cx="0" cy="5658"/>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0.84125</cdr:x>
      <cdr:y>0.9955</cdr:y>
    </cdr:from>
    <cdr:to>
      <cdr:x>0.843</cdr:x>
      <cdr:y>0.9965</cdr:y>
    </cdr:to>
    <cdr:sp macro="" textlink="">
      <cdr:nvSpPr>
        <cdr:cNvPr id="12301" name="Line 13"/>
        <cdr:cNvSpPr>
          <a:spLocks xmlns:a="http://schemas.openxmlformats.org/drawingml/2006/main" noChangeShapeType="1"/>
        </cdr:cNvSpPr>
      </cdr:nvSpPr>
      <cdr:spPr bwMode="auto">
        <a:xfrm xmlns:a="http://schemas.openxmlformats.org/drawingml/2006/main" flipV="1">
          <a:off x="7692390" y="5632390"/>
          <a:ext cx="16002" cy="5658"/>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userShapes>
</file>

<file path=xl/drawings/drawing11.xml><?xml version="1.0" encoding="utf-8"?>
<xdr:wsDr xmlns:xdr="http://schemas.openxmlformats.org/drawingml/2006/spreadsheetDrawing" xmlns:a="http://schemas.openxmlformats.org/drawingml/2006/main">
  <xdr:absoluteAnchor>
    <xdr:pos x="0" y="0"/>
    <xdr:ext cx="9144000" cy="560070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0.0125</cdr:x>
      <cdr:y>0.99425</cdr:y>
    </cdr:from>
    <cdr:to>
      <cdr:x>0.0125</cdr:x>
      <cdr:y>0.996</cdr:y>
    </cdr:to>
    <cdr:sp macro="" textlink="">
      <cdr:nvSpPr>
        <cdr:cNvPr id="16387" name="Line 3"/>
        <cdr:cNvSpPr>
          <a:spLocks xmlns:a="http://schemas.openxmlformats.org/drawingml/2006/main" noChangeShapeType="1"/>
        </cdr:cNvSpPr>
      </cdr:nvSpPr>
      <cdr:spPr bwMode="auto">
        <a:xfrm xmlns:a="http://schemas.openxmlformats.org/drawingml/2006/main" flipV="1">
          <a:off x="114300" y="5625317"/>
          <a:ext cx="0" cy="990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0.11125</cdr:x>
      <cdr:y>0.99425</cdr:y>
    </cdr:from>
    <cdr:to>
      <cdr:x>0.11275</cdr:x>
      <cdr:y>0.996</cdr:y>
    </cdr:to>
    <cdr:sp macro="" textlink="">
      <cdr:nvSpPr>
        <cdr:cNvPr id="16388" name="Line 4"/>
        <cdr:cNvSpPr>
          <a:spLocks xmlns:a="http://schemas.openxmlformats.org/drawingml/2006/main" noChangeShapeType="1"/>
        </cdr:cNvSpPr>
      </cdr:nvSpPr>
      <cdr:spPr bwMode="auto">
        <a:xfrm xmlns:a="http://schemas.openxmlformats.org/drawingml/2006/main" flipV="1">
          <a:off x="1017270" y="5625317"/>
          <a:ext cx="13716" cy="990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0.68225</cdr:x>
      <cdr:y>0.0045</cdr:y>
    </cdr:from>
    <cdr:to>
      <cdr:x>0.98975</cdr:x>
      <cdr:y>0.219</cdr:y>
    </cdr:to>
    <cdr:graphicFrame macro="">
      <cdr:nvGraphicFramePr>
        <cdr:cNvPr id="16659" name="Chart 275"/>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0.3105</cdr:x>
      <cdr:y>0.99425</cdr:y>
    </cdr:from>
    <cdr:to>
      <cdr:x>0.3105</cdr:x>
      <cdr:y>0.996</cdr:y>
    </cdr:to>
    <cdr:sp macro="" textlink="">
      <cdr:nvSpPr>
        <cdr:cNvPr id="16392" name="Line 8"/>
        <cdr:cNvSpPr>
          <a:spLocks xmlns:a="http://schemas.openxmlformats.org/drawingml/2006/main" noChangeShapeType="1"/>
        </cdr:cNvSpPr>
      </cdr:nvSpPr>
      <cdr:spPr bwMode="auto">
        <a:xfrm xmlns:a="http://schemas.openxmlformats.org/drawingml/2006/main" flipV="1">
          <a:off x="2839212" y="5625317"/>
          <a:ext cx="0" cy="990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0.51725</cdr:x>
      <cdr:y>0.99425</cdr:y>
    </cdr:from>
    <cdr:to>
      <cdr:x>0.51725</cdr:x>
      <cdr:y>0.996</cdr:y>
    </cdr:to>
    <cdr:sp macro="" textlink="">
      <cdr:nvSpPr>
        <cdr:cNvPr id="16393" name="Line 9"/>
        <cdr:cNvSpPr>
          <a:spLocks xmlns:a="http://schemas.openxmlformats.org/drawingml/2006/main" noChangeShapeType="1"/>
        </cdr:cNvSpPr>
      </cdr:nvSpPr>
      <cdr:spPr bwMode="auto">
        <a:xfrm xmlns:a="http://schemas.openxmlformats.org/drawingml/2006/main" flipV="1">
          <a:off x="4729734" y="5625317"/>
          <a:ext cx="0" cy="990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9144000" cy="560070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0.747</cdr:x>
      <cdr:y>0.0045</cdr:y>
    </cdr:from>
    <cdr:to>
      <cdr:x>0.9185</cdr:x>
      <cdr:y>0.24125</cdr:y>
    </cdr:to>
    <cdr:graphicFrame macro="">
      <cdr:nvGraphicFramePr>
        <cdr:cNvPr id="19509" name="Chart 53"/>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userShapes>
</file>

<file path=xl/drawings/drawing15.xml><?xml version="1.0" encoding="utf-8"?>
<xdr:wsDr xmlns:xdr="http://schemas.openxmlformats.org/drawingml/2006/spreadsheetDrawing" xmlns:a="http://schemas.openxmlformats.org/drawingml/2006/main">
  <xdr:absoluteAnchor>
    <xdr:pos x="0" y="0"/>
    <xdr:ext cx="9144000" cy="560070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0.04275</cdr:x>
      <cdr:y>0.9835</cdr:y>
    </cdr:from>
    <cdr:to>
      <cdr:x>0.04275</cdr:x>
      <cdr:y>0.98825</cdr:y>
    </cdr:to>
    <cdr:sp macro="" textlink="">
      <cdr:nvSpPr>
        <cdr:cNvPr id="22531" name="Line 3"/>
        <cdr:cNvSpPr>
          <a:spLocks xmlns:a="http://schemas.openxmlformats.org/drawingml/2006/main" noChangeShapeType="1"/>
        </cdr:cNvSpPr>
      </cdr:nvSpPr>
      <cdr:spPr bwMode="auto">
        <a:xfrm xmlns:a="http://schemas.openxmlformats.org/drawingml/2006/main" flipV="1">
          <a:off x="390906" y="5564495"/>
          <a:ext cx="0" cy="26875"/>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0.32775</cdr:x>
      <cdr:y>0.98425</cdr:y>
    </cdr:from>
    <cdr:to>
      <cdr:x>0.3285</cdr:x>
      <cdr:y>0.9885</cdr:y>
    </cdr:to>
    <cdr:sp macro="" textlink="">
      <cdr:nvSpPr>
        <cdr:cNvPr id="22532" name="Line 4"/>
        <cdr:cNvSpPr>
          <a:spLocks xmlns:a="http://schemas.openxmlformats.org/drawingml/2006/main" noChangeShapeType="1"/>
        </cdr:cNvSpPr>
      </cdr:nvSpPr>
      <cdr:spPr bwMode="auto">
        <a:xfrm xmlns:a="http://schemas.openxmlformats.org/drawingml/2006/main" flipV="1">
          <a:off x="2996946" y="5568739"/>
          <a:ext cx="6858" cy="24046"/>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0.72175</cdr:x>
      <cdr:y>0.00475</cdr:y>
    </cdr:from>
    <cdr:to>
      <cdr:x>0.991</cdr:x>
      <cdr:y>0.2325</cdr:y>
    </cdr:to>
    <cdr:graphicFrame macro="">
      <cdr:nvGraphicFramePr>
        <cdr:cNvPr id="22799" name="Chart 271"/>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0.45325</cdr:x>
      <cdr:y>0.97825</cdr:y>
    </cdr:from>
    <cdr:to>
      <cdr:x>0.45325</cdr:x>
      <cdr:y>0.9835</cdr:y>
    </cdr:to>
    <cdr:sp macro="" textlink="">
      <cdr:nvSpPr>
        <cdr:cNvPr id="22536" name="Line 8"/>
        <cdr:cNvSpPr>
          <a:spLocks xmlns:a="http://schemas.openxmlformats.org/drawingml/2006/main" noChangeShapeType="1"/>
        </cdr:cNvSpPr>
      </cdr:nvSpPr>
      <cdr:spPr bwMode="auto">
        <a:xfrm xmlns:a="http://schemas.openxmlformats.org/drawingml/2006/main" flipV="1">
          <a:off x="4144518" y="5534792"/>
          <a:ext cx="0" cy="2970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dr:relSizeAnchor xmlns:cdr="http://schemas.openxmlformats.org/drawingml/2006/chartDrawing">
    <cdr:from>
      <cdr:x>0.601</cdr:x>
      <cdr:y>0.97825</cdr:y>
    </cdr:from>
    <cdr:to>
      <cdr:x>0.602</cdr:x>
      <cdr:y>0.9835</cdr:y>
    </cdr:to>
    <cdr:sp macro="" textlink="">
      <cdr:nvSpPr>
        <cdr:cNvPr id="22537" name="Line 9"/>
        <cdr:cNvSpPr>
          <a:spLocks xmlns:a="http://schemas.openxmlformats.org/drawingml/2006/main" noChangeShapeType="1"/>
        </cdr:cNvSpPr>
      </cdr:nvSpPr>
      <cdr:spPr bwMode="auto">
        <a:xfrm xmlns:a="http://schemas.openxmlformats.org/drawingml/2006/main" flipV="1">
          <a:off x="5495544" y="5534792"/>
          <a:ext cx="9144" cy="2970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fr-FR"/>
        </a:p>
      </cdr:txBody>
    </cdr:sp>
  </cdr:relSizeAnchor>
</c:userShape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P72"/>
  <sheetViews>
    <sheetView tabSelected="1" workbookViewId="0">
      <selection activeCell="H8" sqref="H8"/>
    </sheetView>
  </sheetViews>
  <sheetFormatPr baseColWidth="10" defaultColWidth="8.85546875" defaultRowHeight="12.75" x14ac:dyDescent="0.2"/>
  <cols>
    <col min="1" max="4" width="8.85546875" customWidth="1"/>
    <col min="5" max="5" width="10.7109375" bestFit="1" customWidth="1"/>
    <col min="6" max="6" width="10.28515625" customWidth="1"/>
    <col min="7" max="8" width="9.7109375" customWidth="1"/>
    <col min="15" max="15" width="17.28515625" customWidth="1"/>
    <col min="16" max="16" width="13.7109375" customWidth="1"/>
  </cols>
  <sheetData>
    <row r="1" spans="1:16" ht="18.75" thickBot="1" x14ac:dyDescent="0.3">
      <c r="A1" s="1" t="s">
        <v>30</v>
      </c>
      <c r="B1">
        <v>50</v>
      </c>
      <c r="E1" s="55" t="s">
        <v>214</v>
      </c>
      <c r="F1" s="51"/>
      <c r="G1" s="51"/>
      <c r="H1" s="51"/>
      <c r="I1" s="51"/>
      <c r="J1" s="56"/>
      <c r="K1" s="8"/>
      <c r="L1" s="79" t="s">
        <v>110</v>
      </c>
      <c r="M1" s="82"/>
      <c r="N1" s="52"/>
      <c r="O1" s="88" t="s">
        <v>55</v>
      </c>
      <c r="P1" s="83" t="s">
        <v>56</v>
      </c>
    </row>
    <row r="2" spans="1:16" x14ac:dyDescent="0.2">
      <c r="K2" s="7"/>
      <c r="L2" s="80" t="s">
        <v>129</v>
      </c>
      <c r="M2" s="81"/>
      <c r="N2" s="53">
        <v>20</v>
      </c>
      <c r="O2" s="30" t="s">
        <v>85</v>
      </c>
      <c r="P2" s="30">
        <v>5</v>
      </c>
    </row>
    <row r="3" spans="1:16" x14ac:dyDescent="0.2">
      <c r="E3" s="118" t="s">
        <v>31</v>
      </c>
      <c r="F3" s="119"/>
      <c r="G3" s="120" t="s">
        <v>32</v>
      </c>
      <c r="H3" s="121"/>
      <c r="K3" s="7"/>
      <c r="L3" s="7"/>
      <c r="M3" s="7"/>
      <c r="N3" s="7"/>
      <c r="O3" s="30" t="s">
        <v>86</v>
      </c>
      <c r="P3" s="30">
        <v>10</v>
      </c>
    </row>
    <row r="4" spans="1:16" x14ac:dyDescent="0.2">
      <c r="E4" s="83" t="s">
        <v>33</v>
      </c>
      <c r="F4" s="83" t="s">
        <v>34</v>
      </c>
      <c r="G4" s="88" t="s">
        <v>33</v>
      </c>
      <c r="H4" s="88" t="s">
        <v>34</v>
      </c>
      <c r="J4" s="7"/>
      <c r="K4" s="7"/>
      <c r="L4" s="7"/>
      <c r="M4" s="7"/>
      <c r="N4" s="7"/>
      <c r="O4" s="30" t="s">
        <v>87</v>
      </c>
      <c r="P4" s="30">
        <v>15</v>
      </c>
    </row>
    <row r="5" spans="1:16" x14ac:dyDescent="0.2">
      <c r="A5" t="s">
        <v>36</v>
      </c>
      <c r="E5" s="30" t="str">
        <f>IF(AND(G5&gt;=0,G5&lt;=22),"5",IF(AND(G5&gt;22,G5&lt;=32),"10",IF(AND(G5&gt;32,G5&lt;=39),"15",IF(AND(G5&gt;39,G5&lt;=45),"20",IF(AND(G5&gt;45,G5&lt;=50),"25",IF(AND(G5&gt;50,G5&lt;=55),"30",IF(AND(G5&gt;55,G5&lt;=59),"35",IF(AND(G5&gt;59,G5&lt;=63),"40",IF(AND(G5&gt;=63,G5&lt;=67),"45",IF(AND(G5&gt;67,G5&lt;=71),"50",IF(AND(G5&gt;71,G5&lt;=74),"55",IF(AND(G5&gt;74,G5&lt;=78),"60",IF(AND(G5&gt;78,G5&lt;=81),"65",IF(AND(G5&gt;81,G5&lt;=84),"70",IF(AND(G5&gt;84,G5&lt;=87),"75",IF(AND(G5&gt;87,G5&lt;=89),"80",IF(AND(G5&gt;89,G5&lt;=92),"85",IF(AND(G5&gt;92,G5&lt;=95),"90",IF(AND(G5&gt;95,G5&lt;=98),"95",IF(AND(G5&gt;98,G5&lt;=100),"100","Merci de rentrer une valeur comprise entre 0 et 100!"))))))))))))))))))))</f>
        <v>5</v>
      </c>
      <c r="F5" s="117" t="str">
        <f>IF(AND(H5&gt;=0,H5&lt;=22),"5",IF(AND(H5&gt;22,H5&lt;=32),"10",IF(AND(H5&gt;32,H5&lt;=39),"15",IF(AND(H5&gt;39,H5&lt;=45),"20",IF(AND(H5&gt;45,H5&lt;=50),"25",IF(AND(H5&gt;50,H5&lt;=55),"30",IF(AND(H5&gt;55,H5&lt;=59),"35",IF(AND(H5&gt;59,H5&lt;=63),"40",IF(AND(H5&gt;=63,H5&lt;=67),"45",IF(AND(H5&gt;67,H5&lt;=71),"50",IF(AND(H5&gt;71,H5&lt;=74),"55",IF(AND(H5&gt;74,H5&lt;=78),"60",IF(AND(H5&gt;78,H5&lt;=81),"65",IF(AND(H5&gt;81,H5&lt;=84),"70",IF(AND(H5&gt;84,H5&lt;=87),"75",IF(AND(H5&gt;87,H5&lt;=89),"80",IF(AND(H5&gt;89,H5&lt;=92),"85",IF(AND(H5&gt;92,H5&lt;=95),"90",IF(AND(H5&gt;95,H5&lt;=98),"95",IF(AND(H5&gt;98,H5&lt;=100),"100","Merci de rentrer une valeur comprise entre 0 et 100!"))))))))))))))))))))</f>
        <v>100</v>
      </c>
      <c r="G5" s="32">
        <f>GRH!A4</f>
        <v>0</v>
      </c>
      <c r="H5" s="32">
        <f>GRH!A5</f>
        <v>100</v>
      </c>
      <c r="I5" s="3" t="s">
        <v>71</v>
      </c>
      <c r="J5" s="9"/>
      <c r="K5" s="7"/>
      <c r="L5" s="7"/>
      <c r="M5" s="7"/>
      <c r="N5" s="7"/>
      <c r="O5" s="30" t="s">
        <v>88</v>
      </c>
      <c r="P5" s="30">
        <v>20</v>
      </c>
    </row>
    <row r="6" spans="1:16" x14ac:dyDescent="0.2">
      <c r="A6" t="s">
        <v>37</v>
      </c>
      <c r="E6" s="117" t="str">
        <f t="shared" ref="E6:E11" si="0">IF(AND(G6&gt;=0,G6&lt;=22),"5",IF(AND(G6&gt;22,G6&lt;=32),"10",IF(AND(G6&gt;32,G6&lt;=39),"15",IF(AND(G6&gt;39,G6&lt;=45),"20",IF(AND(G6&gt;45,G6&lt;=50),"25",IF(AND(G6&gt;50,G6&lt;=55),"30",IF(AND(G6&gt;55,G6&lt;=59),"35",IF(AND(G6&gt;59,G6&lt;=63),"40",IF(AND(G6&gt;=63,G6&lt;=67),"45",IF(AND(G6&gt;67,G6&lt;=71),"50",IF(AND(G6&gt;71,G6&lt;=74),"55",IF(AND(G6&gt;74,G6&lt;=78),"60",IF(AND(G6&gt;78,G6&lt;=81),"65",IF(AND(G6&gt;81,G6&lt;=84),"70",IF(AND(G6&gt;84,G6&lt;=87),"75",IF(AND(G6&gt;87,G6&lt;=89),"80",IF(AND(G6&gt;89,G6&lt;=92),"85",IF(AND(G6&gt;92,G6&lt;=95),"90",IF(AND(G6&gt;95,G6&lt;=98),"95",IF(AND(G6&gt;98,G6&lt;=100),"100","Merci de rentrer une valeur comprise entre 0 et 100!"))))))))))))))))))))</f>
        <v>5</v>
      </c>
      <c r="F6" s="117" t="str">
        <f t="shared" ref="F6:F11" si="1">IF(AND(H6&gt;=0,H6&lt;=22),"5",IF(AND(H6&gt;22,H6&lt;=32),"10",IF(AND(H6&gt;32,H6&lt;=39),"15",IF(AND(H6&gt;39,H6&lt;=45),"20",IF(AND(H6&gt;45,H6&lt;=50),"25",IF(AND(H6&gt;50,H6&lt;=55),"30",IF(AND(H6&gt;55,H6&lt;=59),"35",IF(AND(H6&gt;59,H6&lt;=63),"40",IF(AND(H6&gt;=63,H6&lt;=67),"45",IF(AND(H6&gt;67,H6&lt;=71),"50",IF(AND(H6&gt;71,H6&lt;=74),"55",IF(AND(H6&gt;74,H6&lt;=78),"60",IF(AND(H6&gt;78,H6&lt;=81),"65",IF(AND(H6&gt;81,H6&lt;=84),"70",IF(AND(H6&gt;84,H6&lt;=87),"75",IF(AND(H6&gt;87,H6&lt;=89),"80",IF(AND(H6&gt;89,H6&lt;=92),"85",IF(AND(H6&gt;92,H6&lt;=95),"90",IF(AND(H6&gt;95,H6&lt;=98),"95",IF(AND(H6&gt;98,H6&lt;=100),"100","Merci de rentrer une valeur comprise entre 0 et 100!"))))))))))))))))))))</f>
        <v>100</v>
      </c>
      <c r="G6" s="32">
        <f>GRF!A4</f>
        <v>0</v>
      </c>
      <c r="H6" s="32">
        <f>GRF!A5</f>
        <v>100</v>
      </c>
      <c r="I6" s="3" t="s">
        <v>72</v>
      </c>
      <c r="J6" s="7"/>
      <c r="K6" s="7"/>
      <c r="L6" s="7"/>
      <c r="M6" s="7"/>
      <c r="N6" s="7"/>
      <c r="O6" s="30" t="s">
        <v>89</v>
      </c>
      <c r="P6" s="30">
        <v>25</v>
      </c>
    </row>
    <row r="7" spans="1:16" x14ac:dyDescent="0.2">
      <c r="A7" t="s">
        <v>38</v>
      </c>
      <c r="E7" s="117" t="str">
        <f t="shared" si="0"/>
        <v>5</v>
      </c>
      <c r="F7" s="117" t="str">
        <f t="shared" si="1"/>
        <v>100</v>
      </c>
      <c r="G7" s="32">
        <f>PartEq!A4</f>
        <v>0</v>
      </c>
      <c r="H7" s="32">
        <f>PartEq!A5</f>
        <v>100</v>
      </c>
      <c r="I7" s="3" t="s">
        <v>73</v>
      </c>
      <c r="J7" s="95"/>
      <c r="K7" s="7"/>
      <c r="L7" s="7"/>
      <c r="M7" s="7"/>
      <c r="N7" s="7"/>
      <c r="O7" s="30" t="s">
        <v>90</v>
      </c>
      <c r="P7" s="30">
        <v>30</v>
      </c>
    </row>
    <row r="8" spans="1:16" x14ac:dyDescent="0.2">
      <c r="A8" s="61" t="s">
        <v>130</v>
      </c>
      <c r="E8" s="117" t="str">
        <f t="shared" si="0"/>
        <v>5</v>
      </c>
      <c r="F8" s="117" t="str">
        <f t="shared" si="1"/>
        <v>100</v>
      </c>
      <c r="G8" s="32">
        <f>Dur!A4</f>
        <v>0</v>
      </c>
      <c r="H8" s="32">
        <f>Dur!A5</f>
        <v>100</v>
      </c>
      <c r="I8" s="3" t="s">
        <v>74</v>
      </c>
      <c r="J8" s="95"/>
      <c r="K8" s="7"/>
      <c r="L8" s="7"/>
      <c r="M8" s="7"/>
      <c r="N8" s="7"/>
      <c r="O8" s="30" t="s">
        <v>91</v>
      </c>
      <c r="P8" s="30">
        <v>35</v>
      </c>
    </row>
    <row r="9" spans="1:16" x14ac:dyDescent="0.2">
      <c r="A9" t="s">
        <v>39</v>
      </c>
      <c r="E9" s="117" t="str">
        <f t="shared" si="0"/>
        <v>5</v>
      </c>
      <c r="F9" s="117" t="str">
        <f t="shared" si="1"/>
        <v>100</v>
      </c>
      <c r="G9" s="32">
        <f>Partn!A4</f>
        <v>0</v>
      </c>
      <c r="H9" s="32">
        <f>Partn!A5</f>
        <v>100</v>
      </c>
      <c r="I9" s="3" t="s">
        <v>75</v>
      </c>
      <c r="J9" s="95"/>
      <c r="K9" s="7"/>
      <c r="L9" s="7"/>
      <c r="M9" s="7"/>
      <c r="N9" s="7"/>
      <c r="O9" s="30" t="s">
        <v>92</v>
      </c>
      <c r="P9" s="30">
        <v>40</v>
      </c>
    </row>
    <row r="10" spans="1:16" x14ac:dyDescent="0.2">
      <c r="A10" t="s">
        <v>40</v>
      </c>
      <c r="E10" s="117" t="str">
        <f t="shared" si="0"/>
        <v>5</v>
      </c>
      <c r="F10" s="117" t="str">
        <f t="shared" si="1"/>
        <v>100</v>
      </c>
      <c r="G10" s="32">
        <f>AppOrg!A4</f>
        <v>0</v>
      </c>
      <c r="H10" s="32">
        <f>AppOrg!A5</f>
        <v>100</v>
      </c>
      <c r="I10" s="3" t="s">
        <v>76</v>
      </c>
      <c r="J10" s="95"/>
      <c r="K10" s="7"/>
      <c r="L10" s="7"/>
      <c r="M10" s="7"/>
      <c r="N10" s="7"/>
      <c r="O10" s="30" t="s">
        <v>93</v>
      </c>
      <c r="P10" s="30">
        <v>45</v>
      </c>
    </row>
    <row r="11" spans="1:16" x14ac:dyDescent="0.2">
      <c r="A11" t="s">
        <v>41</v>
      </c>
      <c r="E11" s="117" t="str">
        <f t="shared" si="0"/>
        <v>5</v>
      </c>
      <c r="F11" s="117" t="str">
        <f t="shared" si="1"/>
        <v>100</v>
      </c>
      <c r="G11" s="32">
        <f>Gouv!A4</f>
        <v>0</v>
      </c>
      <c r="H11" s="32">
        <f>Gouv!A5</f>
        <v>100</v>
      </c>
      <c r="I11" s="3" t="s">
        <v>77</v>
      </c>
      <c r="J11" s="95"/>
      <c r="K11" s="7"/>
      <c r="L11" s="7"/>
      <c r="M11" s="7"/>
      <c r="N11" s="7"/>
      <c r="O11" s="30" t="s">
        <v>94</v>
      </c>
      <c r="P11" s="30">
        <v>50</v>
      </c>
    </row>
    <row r="12" spans="1:16" x14ac:dyDescent="0.2">
      <c r="A12" s="85"/>
      <c r="B12" s="54"/>
      <c r="C12" s="85"/>
      <c r="D12" s="54" t="s">
        <v>42</v>
      </c>
      <c r="E12" s="87">
        <f>SUM(E5:E11)/7</f>
        <v>0</v>
      </c>
      <c r="F12" s="87">
        <f>SUM(F5:F11)/7</f>
        <v>0</v>
      </c>
      <c r="G12" s="116">
        <f>SUM(G5:G11)/7</f>
        <v>0</v>
      </c>
      <c r="H12" s="116">
        <f>SUM(H5:H11)/7</f>
        <v>100</v>
      </c>
      <c r="I12" s="3" t="s">
        <v>78</v>
      </c>
      <c r="J12" s="7"/>
      <c r="K12" s="7"/>
      <c r="L12" s="7"/>
      <c r="M12" s="7"/>
      <c r="N12" s="7"/>
      <c r="O12" s="30" t="s">
        <v>95</v>
      </c>
      <c r="P12" s="30">
        <v>55</v>
      </c>
    </row>
    <row r="13" spans="1:16" x14ac:dyDescent="0.2">
      <c r="F13" s="24"/>
      <c r="O13" s="30" t="s">
        <v>96</v>
      </c>
      <c r="P13" s="30">
        <v>60</v>
      </c>
    </row>
    <row r="14" spans="1:16" x14ac:dyDescent="0.2">
      <c r="O14" s="30" t="s">
        <v>97</v>
      </c>
      <c r="P14" s="30">
        <v>65</v>
      </c>
    </row>
    <row r="15" spans="1:16" x14ac:dyDescent="0.2">
      <c r="O15" s="30" t="s">
        <v>98</v>
      </c>
      <c r="P15" s="30">
        <v>70</v>
      </c>
    </row>
    <row r="16" spans="1:16" x14ac:dyDescent="0.2">
      <c r="O16" s="30" t="s">
        <v>99</v>
      </c>
      <c r="P16" s="30">
        <v>75</v>
      </c>
    </row>
    <row r="17" spans="15:16" x14ac:dyDescent="0.2">
      <c r="O17" s="30" t="s">
        <v>100</v>
      </c>
      <c r="P17" s="30">
        <v>80</v>
      </c>
    </row>
    <row r="18" spans="15:16" x14ac:dyDescent="0.2">
      <c r="O18" s="30" t="s">
        <v>101</v>
      </c>
      <c r="P18" s="30">
        <v>85</v>
      </c>
    </row>
    <row r="19" spans="15:16" x14ac:dyDescent="0.2">
      <c r="O19" s="30" t="s">
        <v>102</v>
      </c>
      <c r="P19" s="30">
        <v>90</v>
      </c>
    </row>
    <row r="20" spans="15:16" x14ac:dyDescent="0.2">
      <c r="O20" s="30" t="s">
        <v>103</v>
      </c>
      <c r="P20" s="30">
        <v>95</v>
      </c>
    </row>
    <row r="21" spans="15:16" x14ac:dyDescent="0.2">
      <c r="O21" s="30" t="s">
        <v>104</v>
      </c>
      <c r="P21" s="30">
        <v>100</v>
      </c>
    </row>
    <row r="35" spans="1:3" x14ac:dyDescent="0.2">
      <c r="A35" s="2" t="s">
        <v>57</v>
      </c>
      <c r="B35" s="2"/>
    </row>
    <row r="36" spans="1:3" x14ac:dyDescent="0.2">
      <c r="A36" t="s">
        <v>31</v>
      </c>
    </row>
    <row r="37" spans="1:3" x14ac:dyDescent="0.2">
      <c r="A37" s="54" t="s">
        <v>58</v>
      </c>
      <c r="B37" s="54" t="s">
        <v>34</v>
      </c>
    </row>
    <row r="38" spans="1:3" x14ac:dyDescent="0.2">
      <c r="A38" s="49" t="str">
        <f>E5</f>
        <v>5</v>
      </c>
      <c r="B38" s="49" t="str">
        <f>F5</f>
        <v>100</v>
      </c>
      <c r="C38" s="3" t="s">
        <v>71</v>
      </c>
    </row>
    <row r="39" spans="1:3" x14ac:dyDescent="0.2">
      <c r="A39" s="49" t="str">
        <f t="shared" ref="A39:A44" si="2">E6</f>
        <v>5</v>
      </c>
      <c r="B39" s="49" t="str">
        <f t="shared" ref="B39:B44" si="3">F6</f>
        <v>100</v>
      </c>
      <c r="C39" s="3" t="s">
        <v>72</v>
      </c>
    </row>
    <row r="40" spans="1:3" x14ac:dyDescent="0.2">
      <c r="A40" s="49" t="str">
        <f t="shared" si="2"/>
        <v>5</v>
      </c>
      <c r="B40" s="49" t="str">
        <f t="shared" si="3"/>
        <v>100</v>
      </c>
      <c r="C40" s="3" t="s">
        <v>73</v>
      </c>
    </row>
    <row r="41" spans="1:3" x14ac:dyDescent="0.2">
      <c r="A41" s="49" t="str">
        <f t="shared" si="2"/>
        <v>5</v>
      </c>
      <c r="B41" s="49" t="str">
        <f t="shared" si="3"/>
        <v>100</v>
      </c>
      <c r="C41" s="3" t="s">
        <v>74</v>
      </c>
    </row>
    <row r="42" spans="1:3" x14ac:dyDescent="0.2">
      <c r="A42" s="49" t="str">
        <f t="shared" si="2"/>
        <v>5</v>
      </c>
      <c r="B42" s="49" t="str">
        <f t="shared" si="3"/>
        <v>100</v>
      </c>
      <c r="C42" s="3" t="s">
        <v>75</v>
      </c>
    </row>
    <row r="43" spans="1:3" x14ac:dyDescent="0.2">
      <c r="A43" s="49" t="str">
        <f t="shared" si="2"/>
        <v>5</v>
      </c>
      <c r="B43" s="49" t="str">
        <f t="shared" si="3"/>
        <v>100</v>
      </c>
      <c r="C43" s="3" t="s">
        <v>76</v>
      </c>
    </row>
    <row r="44" spans="1:3" x14ac:dyDescent="0.2">
      <c r="A44" s="49" t="str">
        <f t="shared" si="2"/>
        <v>5</v>
      </c>
      <c r="B44" s="49" t="str">
        <f t="shared" si="3"/>
        <v>100</v>
      </c>
      <c r="C44" s="3" t="s">
        <v>77</v>
      </c>
    </row>
    <row r="45" spans="1:3" x14ac:dyDescent="0.2">
      <c r="A45" s="96">
        <f>SUM(A38:A44)/7</f>
        <v>0</v>
      </c>
      <c r="B45" s="96">
        <f>SUM(B38:B44)/7</f>
        <v>0</v>
      </c>
      <c r="C45" s="3" t="s">
        <v>78</v>
      </c>
    </row>
    <row r="56" spans="1:12" x14ac:dyDescent="0.2">
      <c r="A56" s="97" t="s">
        <v>35</v>
      </c>
      <c r="B56" s="98"/>
      <c r="C56" s="98"/>
      <c r="D56" s="98"/>
      <c r="E56" s="98"/>
      <c r="F56" s="98"/>
      <c r="G56" s="99"/>
      <c r="H56" s="100"/>
    </row>
    <row r="57" spans="1:12" ht="6" customHeight="1" x14ac:dyDescent="0.2">
      <c r="A57" s="101"/>
      <c r="B57" s="102"/>
      <c r="C57" s="102"/>
      <c r="D57" s="102"/>
      <c r="E57" s="102"/>
      <c r="F57" s="102"/>
      <c r="G57" s="102"/>
      <c r="H57" s="103"/>
    </row>
    <row r="58" spans="1:12" s="2" customFormat="1" x14ac:dyDescent="0.2">
      <c r="A58" s="104" t="s">
        <v>105</v>
      </c>
      <c r="B58" s="102" t="s">
        <v>209</v>
      </c>
      <c r="C58" s="102"/>
      <c r="D58" s="102"/>
      <c r="E58" s="102"/>
      <c r="F58" s="102"/>
      <c r="G58" s="105"/>
      <c r="H58" s="106"/>
    </row>
    <row r="59" spans="1:12" x14ac:dyDescent="0.2">
      <c r="A59" s="104" t="s">
        <v>106</v>
      </c>
      <c r="B59" s="102" t="s">
        <v>211</v>
      </c>
      <c r="C59" s="102"/>
      <c r="D59" s="102"/>
      <c r="E59" s="102"/>
      <c r="F59" s="102"/>
      <c r="G59" s="102"/>
      <c r="H59" s="103"/>
      <c r="I59" s="6"/>
      <c r="J59" s="6"/>
      <c r="K59" s="6"/>
      <c r="L59" s="6"/>
    </row>
    <row r="60" spans="1:12" x14ac:dyDescent="0.2">
      <c r="A60" s="104" t="s">
        <v>107</v>
      </c>
      <c r="B60" s="102" t="s">
        <v>212</v>
      </c>
      <c r="C60" s="102"/>
      <c r="D60" s="102"/>
      <c r="E60" s="102"/>
      <c r="F60" s="102"/>
      <c r="G60" s="102"/>
      <c r="H60" s="103"/>
      <c r="I60" s="6"/>
      <c r="J60" s="6"/>
      <c r="K60" s="6"/>
      <c r="L60" s="6"/>
    </row>
    <row r="61" spans="1:12" x14ac:dyDescent="0.2">
      <c r="A61" s="104" t="s">
        <v>108</v>
      </c>
      <c r="B61" s="102" t="s">
        <v>210</v>
      </c>
      <c r="C61" s="102"/>
      <c r="D61" s="102"/>
      <c r="E61" s="102"/>
      <c r="F61" s="102"/>
      <c r="G61" s="102"/>
      <c r="H61" s="103"/>
      <c r="I61" s="6"/>
      <c r="J61" s="6"/>
      <c r="K61" s="6"/>
      <c r="L61" s="6"/>
    </row>
    <row r="62" spans="1:12" x14ac:dyDescent="0.2">
      <c r="A62" s="107" t="s">
        <v>109</v>
      </c>
      <c r="B62" s="108" t="s">
        <v>213</v>
      </c>
      <c r="C62" s="108"/>
      <c r="D62" s="108"/>
      <c r="E62" s="108"/>
      <c r="F62" s="108"/>
      <c r="G62" s="108"/>
      <c r="H62" s="109"/>
      <c r="I62" s="6"/>
      <c r="J62" s="6"/>
      <c r="K62" s="6"/>
      <c r="L62" s="6"/>
    </row>
    <row r="66" spans="1:8" x14ac:dyDescent="0.2">
      <c r="A66" s="97" t="s">
        <v>208</v>
      </c>
      <c r="B66" s="98"/>
      <c r="C66" s="98"/>
      <c r="D66" s="98"/>
      <c r="E66" s="98"/>
      <c r="F66" s="98"/>
      <c r="G66" s="110"/>
      <c r="H66" s="111"/>
    </row>
    <row r="67" spans="1:8" ht="5.25" customHeight="1" x14ac:dyDescent="0.2">
      <c r="A67" s="101"/>
      <c r="B67" s="102"/>
      <c r="C67" s="112"/>
      <c r="D67" s="112"/>
      <c r="E67" s="112"/>
      <c r="F67" s="112"/>
      <c r="G67" s="112"/>
      <c r="H67" s="113"/>
    </row>
    <row r="68" spans="1:8" x14ac:dyDescent="0.2">
      <c r="A68" s="104" t="s">
        <v>105</v>
      </c>
      <c r="B68" s="112" t="s">
        <v>203</v>
      </c>
      <c r="C68" s="112"/>
      <c r="D68" s="112"/>
      <c r="E68" s="112"/>
      <c r="F68" s="112"/>
      <c r="G68" s="112"/>
      <c r="H68" s="113"/>
    </row>
    <row r="69" spans="1:8" x14ac:dyDescent="0.2">
      <c r="A69" s="104" t="s">
        <v>106</v>
      </c>
      <c r="B69" s="112" t="s">
        <v>204</v>
      </c>
      <c r="C69" s="112"/>
      <c r="D69" s="112"/>
      <c r="E69" s="112"/>
      <c r="F69" s="112"/>
      <c r="G69" s="112"/>
      <c r="H69" s="113"/>
    </row>
    <row r="70" spans="1:8" x14ac:dyDescent="0.2">
      <c r="A70" s="104" t="s">
        <v>107</v>
      </c>
      <c r="B70" s="112" t="s">
        <v>205</v>
      </c>
      <c r="C70" s="112"/>
      <c r="D70" s="112"/>
      <c r="E70" s="112"/>
      <c r="F70" s="112"/>
      <c r="G70" s="112"/>
      <c r="H70" s="113"/>
    </row>
    <row r="71" spans="1:8" x14ac:dyDescent="0.2">
      <c r="A71" s="104" t="s">
        <v>108</v>
      </c>
      <c r="B71" s="112" t="s">
        <v>206</v>
      </c>
      <c r="C71" s="112"/>
      <c r="D71" s="112"/>
      <c r="E71" s="112"/>
      <c r="F71" s="112"/>
      <c r="G71" s="112"/>
      <c r="H71" s="113"/>
    </row>
    <row r="72" spans="1:8" x14ac:dyDescent="0.2">
      <c r="A72" s="107" t="s">
        <v>109</v>
      </c>
      <c r="B72" s="114" t="s">
        <v>207</v>
      </c>
      <c r="C72" s="114"/>
      <c r="D72" s="114"/>
      <c r="E72" s="114"/>
      <c r="F72" s="114"/>
      <c r="G72" s="114"/>
      <c r="H72" s="115"/>
    </row>
  </sheetData>
  <mergeCells count="2">
    <mergeCell ref="E3:F3"/>
    <mergeCell ref="G3:H3"/>
  </mergeCells>
  <pageMargins left="0.78740157499999996" right="0.78740157499999996" top="0.984251969" bottom="0.984251969" header="0.5" footer="0.5"/>
  <pageSetup paperSize="9"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AE57"/>
  <sheetViews>
    <sheetView workbookViewId="0">
      <selection activeCell="L4" sqref="L4"/>
    </sheetView>
  </sheetViews>
  <sheetFormatPr baseColWidth="10" defaultColWidth="8.85546875" defaultRowHeight="12.75" x14ac:dyDescent="0.2"/>
  <cols>
    <col min="1" max="1" width="6.42578125" customWidth="1"/>
    <col min="2" max="21" width="3.7109375" customWidth="1"/>
    <col min="22" max="22" width="7.42578125" customWidth="1"/>
    <col min="23" max="24" width="8.85546875" customWidth="1"/>
    <col min="25" max="25" width="6.85546875" style="62" customWidth="1"/>
    <col min="26" max="26" width="16.42578125" customWidth="1"/>
  </cols>
  <sheetData>
    <row r="1" spans="1:31" ht="18" x14ac:dyDescent="0.25">
      <c r="A1" s="1" t="s">
        <v>49</v>
      </c>
    </row>
    <row r="2" spans="1:31" x14ac:dyDescent="0.2">
      <c r="L2" s="25" t="s">
        <v>61</v>
      </c>
      <c r="M2" s="4"/>
      <c r="N2" s="4"/>
      <c r="O2" s="4"/>
      <c r="P2" s="4"/>
      <c r="Q2" s="4"/>
      <c r="R2" s="4"/>
      <c r="S2" s="4"/>
      <c r="T2" s="4"/>
      <c r="U2" s="5"/>
      <c r="W2" s="25"/>
      <c r="X2" s="4"/>
      <c r="Y2" s="63"/>
      <c r="Z2" s="4"/>
      <c r="AA2" s="4"/>
      <c r="AB2" s="5"/>
    </row>
    <row r="3" spans="1:31" ht="13.5" thickBot="1" x14ac:dyDescent="0.25">
      <c r="B3" s="3" t="s">
        <v>32</v>
      </c>
      <c r="C3" s="7"/>
      <c r="D3" s="7"/>
      <c r="G3" s="7"/>
      <c r="H3" s="7"/>
      <c r="I3" s="7"/>
      <c r="J3" s="7"/>
      <c r="K3" s="7"/>
      <c r="L3" s="47" t="s">
        <v>62</v>
      </c>
      <c r="M3" s="7"/>
      <c r="N3" s="7"/>
      <c r="O3" s="7"/>
      <c r="P3" s="21">
        <f>V25*V25</f>
        <v>0</v>
      </c>
      <c r="Q3" s="40" t="s">
        <v>13</v>
      </c>
      <c r="S3" s="7"/>
      <c r="T3" s="7"/>
      <c r="U3" s="8"/>
      <c r="W3" s="33"/>
      <c r="X3" s="7"/>
      <c r="Y3" s="64"/>
      <c r="Z3" s="7"/>
      <c r="AA3" s="7"/>
      <c r="AB3" s="8"/>
    </row>
    <row r="4" spans="1:31" x14ac:dyDescent="0.2">
      <c r="A4" s="22">
        <f>(P8/L6)*100</f>
        <v>0</v>
      </c>
      <c r="B4" s="13" t="s">
        <v>59</v>
      </c>
      <c r="C4" s="14"/>
      <c r="D4" s="14"/>
      <c r="E4" s="14"/>
      <c r="F4" s="15"/>
      <c r="G4" s="15"/>
      <c r="H4" s="15"/>
      <c r="I4" s="15"/>
      <c r="J4" s="16"/>
      <c r="K4" s="7"/>
      <c r="L4" s="60">
        <f>Aperçu!N2</f>
        <v>20</v>
      </c>
      <c r="M4" s="7"/>
      <c r="N4" s="7"/>
      <c r="O4" s="7"/>
      <c r="P4" s="6">
        <f>L4*(L4-1)</f>
        <v>380</v>
      </c>
      <c r="Q4" s="40" t="s">
        <v>14</v>
      </c>
      <c r="S4" s="7"/>
      <c r="T4" s="7"/>
      <c r="U4" s="8"/>
      <c r="W4" s="33"/>
      <c r="X4" s="7"/>
      <c r="Y4" s="64"/>
      <c r="Z4" s="7"/>
      <c r="AA4" s="7"/>
      <c r="AB4" s="8"/>
    </row>
    <row r="5" spans="1:31" ht="13.5" thickBot="1" x14ac:dyDescent="0.25">
      <c r="A5" s="23">
        <f>100-(P9*2)</f>
        <v>100</v>
      </c>
      <c r="B5" s="17" t="s">
        <v>60</v>
      </c>
      <c r="C5" s="18"/>
      <c r="D5" s="18"/>
      <c r="E5" s="18"/>
      <c r="F5" s="19"/>
      <c r="G5" s="19"/>
      <c r="H5" s="19"/>
      <c r="I5" s="19"/>
      <c r="J5" s="20"/>
      <c r="K5" s="7"/>
      <c r="L5" s="47" t="s">
        <v>63</v>
      </c>
      <c r="M5" s="7"/>
      <c r="N5" s="7"/>
      <c r="O5" s="7"/>
      <c r="P5" s="21">
        <f>(L4*V26)-P3</f>
        <v>0</v>
      </c>
      <c r="Q5" s="40" t="s">
        <v>124</v>
      </c>
      <c r="S5" s="7"/>
      <c r="T5" s="7"/>
      <c r="U5" s="8"/>
      <c r="W5" s="33"/>
      <c r="X5" s="7"/>
      <c r="Y5" s="64"/>
      <c r="Z5" s="7"/>
      <c r="AA5" s="7"/>
      <c r="AB5" s="8"/>
    </row>
    <row r="6" spans="1:31" x14ac:dyDescent="0.2">
      <c r="J6" s="7"/>
      <c r="K6" s="7"/>
      <c r="L6" s="60">
        <f>10*5</f>
        <v>50</v>
      </c>
      <c r="M6" s="7"/>
      <c r="N6" s="9"/>
      <c r="O6" s="7"/>
      <c r="P6" s="6">
        <f>P5/P4</f>
        <v>0</v>
      </c>
      <c r="Q6" s="40" t="s">
        <v>15</v>
      </c>
      <c r="S6" s="7"/>
      <c r="T6" s="7"/>
      <c r="U6" s="8"/>
      <c r="W6" s="33"/>
      <c r="X6" s="7"/>
      <c r="Y6" s="64"/>
      <c r="Z6" s="7"/>
      <c r="AA6" s="7"/>
      <c r="AB6" s="8"/>
    </row>
    <row r="7" spans="1:31" x14ac:dyDescent="0.2">
      <c r="C7" s="7"/>
      <c r="D7" s="7"/>
      <c r="G7" s="7"/>
      <c r="H7" s="7"/>
      <c r="I7" s="7"/>
      <c r="J7" s="7"/>
      <c r="K7" s="7"/>
      <c r="L7" s="47" t="s">
        <v>64</v>
      </c>
      <c r="M7" s="7"/>
      <c r="N7" s="9"/>
      <c r="O7" s="7"/>
      <c r="P7" s="6">
        <f>SQRT(P6)</f>
        <v>0</v>
      </c>
      <c r="Q7" s="40" t="s">
        <v>16</v>
      </c>
      <c r="S7" s="7"/>
      <c r="T7" s="7"/>
      <c r="U7" s="8"/>
      <c r="W7" s="46"/>
      <c r="X7" s="11"/>
      <c r="Y7" s="65"/>
      <c r="Z7" s="11"/>
      <c r="AA7" s="11"/>
      <c r="AB7" s="12"/>
    </row>
    <row r="8" spans="1:31" x14ac:dyDescent="0.2">
      <c r="C8" s="7"/>
      <c r="D8" s="7"/>
      <c r="G8" s="7"/>
      <c r="H8" s="7"/>
      <c r="I8" s="7"/>
      <c r="J8" s="7"/>
      <c r="L8" s="60">
        <v>10</v>
      </c>
      <c r="M8" s="7"/>
      <c r="N8" s="7"/>
      <c r="O8" s="7"/>
      <c r="P8" s="7">
        <f>V25/L4</f>
        <v>0</v>
      </c>
      <c r="Q8" s="40" t="s">
        <v>65</v>
      </c>
      <c r="R8" s="7"/>
      <c r="S8" s="7"/>
      <c r="T8" s="7"/>
      <c r="U8" s="8"/>
    </row>
    <row r="9" spans="1:31" x14ac:dyDescent="0.2">
      <c r="L9" s="10"/>
      <c r="M9" s="11"/>
      <c r="N9" s="11"/>
      <c r="O9" s="11"/>
      <c r="P9" s="11">
        <f>P7/((L8*5)-(L8*1))*100</f>
        <v>0</v>
      </c>
      <c r="Q9" s="41" t="s">
        <v>66</v>
      </c>
      <c r="R9" s="11"/>
      <c r="S9" s="11"/>
      <c r="T9" s="11"/>
      <c r="U9" s="12"/>
    </row>
    <row r="10" spans="1:31" x14ac:dyDescent="0.2">
      <c r="A10" s="3"/>
      <c r="B10" s="86" t="s">
        <v>199</v>
      </c>
      <c r="C10" s="84"/>
      <c r="D10" s="84"/>
      <c r="E10" s="84"/>
      <c r="F10" s="84"/>
      <c r="G10" s="84"/>
      <c r="H10" s="84"/>
      <c r="I10" s="84"/>
      <c r="J10" s="84"/>
      <c r="K10" s="84"/>
      <c r="L10" s="84"/>
      <c r="M10" s="84"/>
      <c r="N10" s="84"/>
      <c r="O10" s="84"/>
      <c r="P10" s="84"/>
      <c r="Q10" s="84"/>
      <c r="R10" s="84"/>
      <c r="S10" s="84"/>
      <c r="T10" s="84"/>
      <c r="U10" s="84"/>
      <c r="W10" s="25" t="s">
        <v>69</v>
      </c>
      <c r="X10" s="35"/>
      <c r="Y10" s="63"/>
      <c r="Z10" s="4"/>
      <c r="AA10" s="35"/>
      <c r="AB10" s="57"/>
      <c r="AC10" s="7"/>
      <c r="AD10" s="7"/>
      <c r="AE10" s="7"/>
    </row>
    <row r="11" spans="1:31" x14ac:dyDescent="0.2">
      <c r="A11" s="91" t="s">
        <v>200</v>
      </c>
      <c r="B11" s="27">
        <v>1</v>
      </c>
      <c r="C11" s="27">
        <v>2</v>
      </c>
      <c r="D11" s="27">
        <v>3</v>
      </c>
      <c r="E11" s="27">
        <v>4</v>
      </c>
      <c r="F11" s="27">
        <v>5</v>
      </c>
      <c r="G11" s="27">
        <v>6</v>
      </c>
      <c r="H11" s="27">
        <v>7</v>
      </c>
      <c r="I11" s="27">
        <v>8</v>
      </c>
      <c r="J11" s="27">
        <v>9</v>
      </c>
      <c r="K11" s="27">
        <v>10</v>
      </c>
      <c r="L11" s="27">
        <v>11</v>
      </c>
      <c r="M11" s="27">
        <v>12</v>
      </c>
      <c r="N11" s="27">
        <v>13</v>
      </c>
      <c r="O11" s="27">
        <v>14</v>
      </c>
      <c r="P11" s="27">
        <v>15</v>
      </c>
      <c r="Q11" s="27">
        <v>16</v>
      </c>
      <c r="R11" s="27">
        <v>17</v>
      </c>
      <c r="S11" s="27">
        <v>18</v>
      </c>
      <c r="T11" s="27">
        <v>19</v>
      </c>
      <c r="U11" s="27">
        <v>20</v>
      </c>
      <c r="V11" s="92" t="s">
        <v>68</v>
      </c>
      <c r="W11" s="26" t="s">
        <v>33</v>
      </c>
      <c r="X11" s="43" t="s">
        <v>34</v>
      </c>
      <c r="Y11" s="34" t="s">
        <v>67</v>
      </c>
      <c r="Z11" s="7"/>
      <c r="AA11" s="9"/>
      <c r="AB11" s="58"/>
      <c r="AC11" s="7"/>
      <c r="AD11" s="7"/>
      <c r="AE11" s="34"/>
    </row>
    <row r="12" spans="1:31" x14ac:dyDescent="0.2">
      <c r="A12" s="27">
        <v>1</v>
      </c>
      <c r="B12" s="30"/>
      <c r="C12" s="30"/>
      <c r="D12" s="30"/>
      <c r="E12" s="30"/>
      <c r="F12" s="30"/>
      <c r="G12" s="30"/>
      <c r="H12" s="30"/>
      <c r="I12" s="30"/>
      <c r="J12" s="30"/>
      <c r="K12" s="30"/>
      <c r="L12" s="30"/>
      <c r="M12" s="30"/>
      <c r="N12" s="30"/>
      <c r="O12" s="30"/>
      <c r="P12" s="30"/>
      <c r="Q12" s="30"/>
      <c r="R12" s="30"/>
      <c r="S12" s="30"/>
      <c r="T12" s="30"/>
      <c r="U12" s="30"/>
      <c r="V12" s="30">
        <f t="shared" ref="V12:V26" si="0">SUM(B12:U12)</f>
        <v>0</v>
      </c>
      <c r="W12" s="36">
        <f>V12/L4*20</f>
        <v>0</v>
      </c>
      <c r="X12" s="37">
        <f t="shared" ref="X12:X21" si="1">100-(AB42*2)</f>
        <v>100</v>
      </c>
      <c r="Y12" s="68" t="s">
        <v>131</v>
      </c>
      <c r="Z12" s="64"/>
      <c r="AA12" s="37"/>
      <c r="AB12" s="59"/>
      <c r="AC12" s="48"/>
      <c r="AD12" s="48"/>
      <c r="AE12" s="7"/>
    </row>
    <row r="13" spans="1:31" x14ac:dyDescent="0.2">
      <c r="A13" s="27">
        <v>2</v>
      </c>
      <c r="B13" s="30"/>
      <c r="C13" s="30"/>
      <c r="D13" s="30"/>
      <c r="E13" s="30"/>
      <c r="F13" s="30"/>
      <c r="G13" s="30"/>
      <c r="H13" s="30"/>
      <c r="I13" s="30"/>
      <c r="J13" s="30"/>
      <c r="K13" s="30"/>
      <c r="L13" s="30"/>
      <c r="M13" s="30"/>
      <c r="N13" s="30"/>
      <c r="O13" s="30"/>
      <c r="P13" s="30"/>
      <c r="Q13" s="30"/>
      <c r="R13" s="30"/>
      <c r="S13" s="30"/>
      <c r="T13" s="30"/>
      <c r="U13" s="30"/>
      <c r="V13" s="30">
        <f t="shared" si="0"/>
        <v>0</v>
      </c>
      <c r="W13" s="36">
        <f>V13/L4*20</f>
        <v>0</v>
      </c>
      <c r="X13" s="37">
        <f t="shared" si="1"/>
        <v>100</v>
      </c>
      <c r="Y13" s="68" t="s">
        <v>70</v>
      </c>
      <c r="Z13" s="64"/>
      <c r="AA13" s="7"/>
      <c r="AB13" s="8"/>
    </row>
    <row r="14" spans="1:31" x14ac:dyDescent="0.2">
      <c r="A14" s="27">
        <v>3</v>
      </c>
      <c r="B14" s="30"/>
      <c r="C14" s="30"/>
      <c r="D14" s="30"/>
      <c r="E14" s="30"/>
      <c r="F14" s="30"/>
      <c r="G14" s="30"/>
      <c r="H14" s="30"/>
      <c r="I14" s="30"/>
      <c r="J14" s="30"/>
      <c r="K14" s="30"/>
      <c r="L14" s="30"/>
      <c r="M14" s="30"/>
      <c r="N14" s="30"/>
      <c r="O14" s="30"/>
      <c r="P14" s="30"/>
      <c r="Q14" s="30"/>
      <c r="R14" s="30"/>
      <c r="S14" s="30"/>
      <c r="T14" s="30"/>
      <c r="U14" s="30"/>
      <c r="V14" s="30">
        <f t="shared" si="0"/>
        <v>0</v>
      </c>
      <c r="W14" s="36">
        <f>V14/L4*20</f>
        <v>0</v>
      </c>
      <c r="X14" s="37">
        <f t="shared" si="1"/>
        <v>100</v>
      </c>
      <c r="Y14" s="68" t="s">
        <v>132</v>
      </c>
      <c r="Z14" s="64"/>
      <c r="AA14" s="7"/>
      <c r="AB14" s="8"/>
    </row>
    <row r="15" spans="1:31" x14ac:dyDescent="0.2">
      <c r="A15" s="27">
        <v>4</v>
      </c>
      <c r="B15" s="30"/>
      <c r="C15" s="30"/>
      <c r="D15" s="30"/>
      <c r="E15" s="30"/>
      <c r="F15" s="30"/>
      <c r="G15" s="30"/>
      <c r="H15" s="30"/>
      <c r="I15" s="30"/>
      <c r="J15" s="30"/>
      <c r="K15" s="30"/>
      <c r="L15" s="30"/>
      <c r="M15" s="30"/>
      <c r="N15" s="30"/>
      <c r="O15" s="30"/>
      <c r="P15" s="30"/>
      <c r="Q15" s="30"/>
      <c r="R15" s="30"/>
      <c r="S15" s="30"/>
      <c r="T15" s="30"/>
      <c r="U15" s="30"/>
      <c r="V15" s="30">
        <f t="shared" si="0"/>
        <v>0</v>
      </c>
      <c r="W15" s="36">
        <f>V15/L4*20</f>
        <v>0</v>
      </c>
      <c r="X15" s="37">
        <f t="shared" si="1"/>
        <v>100</v>
      </c>
      <c r="Y15" s="68" t="s">
        <v>133</v>
      </c>
      <c r="Z15" s="64"/>
      <c r="AA15" s="7"/>
      <c r="AB15" s="8"/>
    </row>
    <row r="16" spans="1:31" x14ac:dyDescent="0.2">
      <c r="A16" s="27">
        <v>5</v>
      </c>
      <c r="B16" s="30"/>
      <c r="C16" s="30"/>
      <c r="D16" s="30"/>
      <c r="E16" s="30"/>
      <c r="F16" s="30"/>
      <c r="G16" s="30"/>
      <c r="H16" s="30"/>
      <c r="I16" s="30"/>
      <c r="J16" s="30"/>
      <c r="K16" s="30"/>
      <c r="L16" s="30"/>
      <c r="M16" s="30"/>
      <c r="N16" s="30"/>
      <c r="O16" s="30"/>
      <c r="P16" s="30"/>
      <c r="Q16" s="30"/>
      <c r="R16" s="30"/>
      <c r="S16" s="30"/>
      <c r="T16" s="30"/>
      <c r="U16" s="30"/>
      <c r="V16" s="30">
        <f t="shared" si="0"/>
        <v>0</v>
      </c>
      <c r="W16" s="36">
        <f>V16/L4*20</f>
        <v>0</v>
      </c>
      <c r="X16" s="37">
        <f t="shared" si="1"/>
        <v>100</v>
      </c>
      <c r="Y16" s="68" t="s">
        <v>134</v>
      </c>
      <c r="Z16" s="64"/>
      <c r="AA16" s="7"/>
      <c r="AB16" s="8"/>
    </row>
    <row r="17" spans="1:28" x14ac:dyDescent="0.2">
      <c r="A17" s="27">
        <v>6</v>
      </c>
      <c r="B17" s="30"/>
      <c r="C17" s="30"/>
      <c r="D17" s="30"/>
      <c r="E17" s="30"/>
      <c r="F17" s="30"/>
      <c r="G17" s="30"/>
      <c r="H17" s="30"/>
      <c r="I17" s="30"/>
      <c r="J17" s="30"/>
      <c r="K17" s="30"/>
      <c r="L17" s="30"/>
      <c r="M17" s="30"/>
      <c r="N17" s="30"/>
      <c r="O17" s="30"/>
      <c r="P17" s="30"/>
      <c r="Q17" s="30"/>
      <c r="R17" s="30"/>
      <c r="S17" s="30"/>
      <c r="T17" s="30"/>
      <c r="U17" s="30"/>
      <c r="V17" s="30">
        <f t="shared" si="0"/>
        <v>0</v>
      </c>
      <c r="W17" s="36">
        <f>V17/L4*20</f>
        <v>0</v>
      </c>
      <c r="X17" s="37">
        <f t="shared" si="1"/>
        <v>100</v>
      </c>
      <c r="Y17" s="68" t="s">
        <v>135</v>
      </c>
      <c r="Z17" s="64"/>
      <c r="AA17" s="7"/>
      <c r="AB17" s="8"/>
    </row>
    <row r="18" spans="1:28" x14ac:dyDescent="0.2">
      <c r="A18" s="27">
        <v>7</v>
      </c>
      <c r="B18" s="30"/>
      <c r="C18" s="30"/>
      <c r="D18" s="30"/>
      <c r="E18" s="30"/>
      <c r="F18" s="30"/>
      <c r="G18" s="30"/>
      <c r="H18" s="30"/>
      <c r="I18" s="30"/>
      <c r="J18" s="30"/>
      <c r="K18" s="30"/>
      <c r="L18" s="30"/>
      <c r="M18" s="30"/>
      <c r="N18" s="30"/>
      <c r="O18" s="30"/>
      <c r="P18" s="30"/>
      <c r="Q18" s="30"/>
      <c r="R18" s="30"/>
      <c r="S18" s="30"/>
      <c r="T18" s="30"/>
      <c r="U18" s="30"/>
      <c r="V18" s="30">
        <f t="shared" si="0"/>
        <v>0</v>
      </c>
      <c r="W18" s="36">
        <f>V18/L4*20</f>
        <v>0</v>
      </c>
      <c r="X18" s="37">
        <f t="shared" si="1"/>
        <v>100</v>
      </c>
      <c r="Y18" s="68" t="s">
        <v>136</v>
      </c>
      <c r="Z18" s="64"/>
      <c r="AA18" s="7"/>
      <c r="AB18" s="8"/>
    </row>
    <row r="19" spans="1:28" x14ac:dyDescent="0.2">
      <c r="A19" s="27">
        <v>8</v>
      </c>
      <c r="B19" s="30"/>
      <c r="C19" s="30"/>
      <c r="D19" s="30"/>
      <c r="E19" s="30"/>
      <c r="F19" s="30"/>
      <c r="G19" s="30"/>
      <c r="H19" s="30"/>
      <c r="I19" s="30"/>
      <c r="J19" s="30"/>
      <c r="K19" s="30"/>
      <c r="L19" s="30"/>
      <c r="M19" s="30"/>
      <c r="N19" s="30"/>
      <c r="O19" s="30"/>
      <c r="P19" s="30"/>
      <c r="Q19" s="30"/>
      <c r="R19" s="30"/>
      <c r="S19" s="30"/>
      <c r="T19" s="30"/>
      <c r="U19" s="30"/>
      <c r="V19" s="30">
        <f t="shared" si="0"/>
        <v>0</v>
      </c>
      <c r="W19" s="36">
        <f>V19/L4*20</f>
        <v>0</v>
      </c>
      <c r="X19" s="37">
        <f t="shared" si="1"/>
        <v>100</v>
      </c>
      <c r="Y19" s="68" t="s">
        <v>137</v>
      </c>
      <c r="Z19" s="64"/>
      <c r="AA19" s="7"/>
      <c r="AB19" s="8"/>
    </row>
    <row r="20" spans="1:28" x14ac:dyDescent="0.2">
      <c r="A20" s="27">
        <v>9</v>
      </c>
      <c r="B20" s="30"/>
      <c r="C20" s="30"/>
      <c r="D20" s="30"/>
      <c r="E20" s="30"/>
      <c r="F20" s="30"/>
      <c r="G20" s="30"/>
      <c r="H20" s="30"/>
      <c r="I20" s="30"/>
      <c r="J20" s="30"/>
      <c r="K20" s="30"/>
      <c r="L20" s="30"/>
      <c r="M20" s="30"/>
      <c r="N20" s="30"/>
      <c r="O20" s="30"/>
      <c r="P20" s="30"/>
      <c r="Q20" s="30"/>
      <c r="R20" s="30"/>
      <c r="S20" s="30"/>
      <c r="T20" s="30"/>
      <c r="U20" s="30"/>
      <c r="V20" s="30">
        <f t="shared" si="0"/>
        <v>0</v>
      </c>
      <c r="W20" s="36">
        <f>V20/L4*20</f>
        <v>0</v>
      </c>
      <c r="X20" s="37">
        <f t="shared" si="1"/>
        <v>100</v>
      </c>
      <c r="Y20" s="68" t="s">
        <v>138</v>
      </c>
      <c r="Z20" s="64"/>
      <c r="AA20" s="7"/>
      <c r="AB20" s="8"/>
    </row>
    <row r="21" spans="1:28" x14ac:dyDescent="0.2">
      <c r="A21" s="27">
        <v>10</v>
      </c>
      <c r="B21" s="30"/>
      <c r="C21" s="30"/>
      <c r="D21" s="30"/>
      <c r="E21" s="30"/>
      <c r="F21" s="30"/>
      <c r="G21" s="30"/>
      <c r="H21" s="30"/>
      <c r="I21" s="30"/>
      <c r="J21" s="30"/>
      <c r="K21" s="30"/>
      <c r="L21" s="30"/>
      <c r="M21" s="30"/>
      <c r="N21" s="30"/>
      <c r="O21" s="30"/>
      <c r="P21" s="30"/>
      <c r="Q21" s="30"/>
      <c r="R21" s="30"/>
      <c r="S21" s="30"/>
      <c r="T21" s="30"/>
      <c r="U21" s="30"/>
      <c r="V21" s="30">
        <f t="shared" si="0"/>
        <v>0</v>
      </c>
      <c r="W21" s="36">
        <f>V21/L4*20</f>
        <v>0</v>
      </c>
      <c r="X21" s="37">
        <f t="shared" si="1"/>
        <v>100</v>
      </c>
      <c r="Y21" s="61" t="s">
        <v>139</v>
      </c>
      <c r="Z21" s="64"/>
      <c r="AA21" s="7"/>
      <c r="AB21" s="8"/>
    </row>
    <row r="22" spans="1:28" x14ac:dyDescent="0.2">
      <c r="A22" s="27"/>
      <c r="B22" s="30"/>
      <c r="C22" s="30"/>
      <c r="D22" s="30"/>
      <c r="E22" s="30"/>
      <c r="F22" s="30"/>
      <c r="G22" s="30"/>
      <c r="H22" s="30"/>
      <c r="I22" s="30"/>
      <c r="J22" s="30"/>
      <c r="K22" s="30"/>
      <c r="L22" s="30"/>
      <c r="M22" s="30"/>
      <c r="N22" s="30"/>
      <c r="O22" s="30"/>
      <c r="P22" s="30"/>
      <c r="Q22" s="30"/>
      <c r="R22" s="30"/>
      <c r="S22" s="30"/>
      <c r="T22" s="30"/>
      <c r="U22" s="30"/>
      <c r="V22" s="30"/>
      <c r="W22" s="36"/>
      <c r="X22" s="37"/>
      <c r="Y22" s="64"/>
      <c r="Z22" s="7"/>
      <c r="AA22" s="7"/>
      <c r="AB22" s="8"/>
    </row>
    <row r="23" spans="1:28" x14ac:dyDescent="0.2">
      <c r="A23" s="27"/>
      <c r="B23" s="30"/>
      <c r="C23" s="30"/>
      <c r="D23" s="30"/>
      <c r="E23" s="30"/>
      <c r="F23" s="30"/>
      <c r="G23" s="30"/>
      <c r="H23" s="30"/>
      <c r="I23" s="30"/>
      <c r="J23" s="30"/>
      <c r="K23" s="30"/>
      <c r="L23" s="30"/>
      <c r="M23" s="30"/>
      <c r="N23" s="30"/>
      <c r="O23" s="30"/>
      <c r="P23" s="30"/>
      <c r="Q23" s="30"/>
      <c r="R23" s="30"/>
      <c r="S23" s="30"/>
      <c r="T23" s="30"/>
      <c r="U23" s="30"/>
      <c r="V23" s="30"/>
      <c r="W23" s="36"/>
      <c r="X23" s="37"/>
      <c r="Y23" s="64"/>
      <c r="Z23" s="7"/>
      <c r="AA23" s="7"/>
      <c r="AB23" s="8"/>
    </row>
    <row r="24" spans="1:28" x14ac:dyDescent="0.2">
      <c r="A24" s="27"/>
      <c r="B24" s="30"/>
      <c r="C24" s="30"/>
      <c r="D24" s="30"/>
      <c r="E24" s="30"/>
      <c r="F24" s="30"/>
      <c r="G24" s="30"/>
      <c r="H24" s="30"/>
      <c r="I24" s="30"/>
      <c r="J24" s="30"/>
      <c r="K24" s="30"/>
      <c r="L24" s="30"/>
      <c r="M24" s="30"/>
      <c r="N24" s="30"/>
      <c r="O24" s="30"/>
      <c r="P24" s="30"/>
      <c r="Q24" s="30"/>
      <c r="R24" s="30"/>
      <c r="S24" s="30"/>
      <c r="T24" s="30"/>
      <c r="U24" s="30"/>
      <c r="V24" s="30"/>
      <c r="W24" s="38"/>
      <c r="X24" s="39"/>
      <c r="Y24" s="65"/>
      <c r="Z24" s="11"/>
      <c r="AA24" s="11"/>
      <c r="AB24" s="12"/>
    </row>
    <row r="25" spans="1:28" x14ac:dyDescent="0.2">
      <c r="A25" s="27" t="s">
        <v>127</v>
      </c>
      <c r="B25" s="30">
        <f>SUM(B12:B24)</f>
        <v>0</v>
      </c>
      <c r="C25" s="30">
        <f t="shared" ref="C25:U25" si="2">SUM(C12:C24)</f>
        <v>0</v>
      </c>
      <c r="D25" s="30">
        <f t="shared" si="2"/>
        <v>0</v>
      </c>
      <c r="E25" s="30">
        <f t="shared" si="2"/>
        <v>0</v>
      </c>
      <c r="F25" s="30">
        <f t="shared" si="2"/>
        <v>0</v>
      </c>
      <c r="G25" s="30">
        <f t="shared" si="2"/>
        <v>0</v>
      </c>
      <c r="H25" s="30">
        <f t="shared" si="2"/>
        <v>0</v>
      </c>
      <c r="I25" s="30">
        <f t="shared" si="2"/>
        <v>0</v>
      </c>
      <c r="J25" s="30">
        <f t="shared" si="2"/>
        <v>0</v>
      </c>
      <c r="K25" s="30">
        <f t="shared" si="2"/>
        <v>0</v>
      </c>
      <c r="L25" s="30">
        <f t="shared" si="2"/>
        <v>0</v>
      </c>
      <c r="M25" s="30">
        <f t="shared" si="2"/>
        <v>0</v>
      </c>
      <c r="N25" s="30">
        <f t="shared" si="2"/>
        <v>0</v>
      </c>
      <c r="O25" s="30">
        <f t="shared" si="2"/>
        <v>0</v>
      </c>
      <c r="P25" s="30">
        <f t="shared" si="2"/>
        <v>0</v>
      </c>
      <c r="Q25" s="30">
        <f t="shared" si="2"/>
        <v>0</v>
      </c>
      <c r="R25" s="30">
        <f t="shared" si="2"/>
        <v>0</v>
      </c>
      <c r="S25" s="30">
        <f t="shared" si="2"/>
        <v>0</v>
      </c>
      <c r="T25" s="30">
        <f t="shared" si="2"/>
        <v>0</v>
      </c>
      <c r="U25" s="30">
        <f t="shared" si="2"/>
        <v>0</v>
      </c>
      <c r="V25" s="30">
        <f t="shared" si="0"/>
        <v>0</v>
      </c>
      <c r="W25" s="29"/>
    </row>
    <row r="26" spans="1:28" x14ac:dyDescent="0.2">
      <c r="A26" s="27" t="s">
        <v>128</v>
      </c>
      <c r="B26" s="31">
        <f t="shared" ref="B26:U26" si="3">B25*B25</f>
        <v>0</v>
      </c>
      <c r="C26" s="31">
        <f t="shared" si="3"/>
        <v>0</v>
      </c>
      <c r="D26" s="31">
        <f t="shared" si="3"/>
        <v>0</v>
      </c>
      <c r="E26" s="31">
        <f t="shared" si="3"/>
        <v>0</v>
      </c>
      <c r="F26" s="31">
        <f t="shared" si="3"/>
        <v>0</v>
      </c>
      <c r="G26" s="31">
        <f t="shared" si="3"/>
        <v>0</v>
      </c>
      <c r="H26" s="31">
        <f t="shared" si="3"/>
        <v>0</v>
      </c>
      <c r="I26" s="31">
        <f t="shared" si="3"/>
        <v>0</v>
      </c>
      <c r="J26" s="31">
        <f t="shared" si="3"/>
        <v>0</v>
      </c>
      <c r="K26" s="31">
        <f t="shared" si="3"/>
        <v>0</v>
      </c>
      <c r="L26" s="31">
        <f t="shared" si="3"/>
        <v>0</v>
      </c>
      <c r="M26" s="31">
        <f t="shared" si="3"/>
        <v>0</v>
      </c>
      <c r="N26" s="31">
        <f t="shared" si="3"/>
        <v>0</v>
      </c>
      <c r="O26" s="31">
        <f t="shared" si="3"/>
        <v>0</v>
      </c>
      <c r="P26" s="31">
        <f t="shared" si="3"/>
        <v>0</v>
      </c>
      <c r="Q26" s="31">
        <f t="shared" si="3"/>
        <v>0</v>
      </c>
      <c r="R26" s="31">
        <f t="shared" si="3"/>
        <v>0</v>
      </c>
      <c r="S26" s="31">
        <f t="shared" si="3"/>
        <v>0</v>
      </c>
      <c r="T26" s="31">
        <f t="shared" si="3"/>
        <v>0</v>
      </c>
      <c r="U26" s="31">
        <f t="shared" si="3"/>
        <v>0</v>
      </c>
      <c r="V26" s="31">
        <f t="shared" si="0"/>
        <v>0</v>
      </c>
      <c r="W26" t="s">
        <v>12</v>
      </c>
      <c r="X26" s="2"/>
    </row>
    <row r="28" spans="1:28" x14ac:dyDescent="0.2">
      <c r="A28" s="2"/>
      <c r="V28" s="30"/>
    </row>
    <row r="29" spans="1:28" x14ac:dyDescent="0.2">
      <c r="A29" s="27"/>
      <c r="B29" s="30"/>
      <c r="C29" s="30"/>
      <c r="D29" s="30"/>
      <c r="E29" s="30"/>
      <c r="F29" s="30"/>
      <c r="G29" s="30"/>
      <c r="H29" s="30"/>
      <c r="I29" s="30"/>
      <c r="J29" s="30"/>
      <c r="K29" s="30"/>
      <c r="L29" s="30"/>
      <c r="M29" s="30"/>
      <c r="N29" s="30"/>
      <c r="O29" s="30"/>
      <c r="P29" s="30"/>
      <c r="Q29" s="30"/>
      <c r="R29" s="30"/>
      <c r="S29" s="30"/>
      <c r="T29" s="30"/>
      <c r="U29" s="30"/>
    </row>
    <row r="30" spans="1:28" x14ac:dyDescent="0.2">
      <c r="A30" s="30"/>
      <c r="B30" s="30"/>
      <c r="C30" s="30"/>
      <c r="D30" s="30"/>
      <c r="E30" s="30"/>
      <c r="F30" s="30"/>
      <c r="G30" s="30"/>
      <c r="H30" s="30"/>
      <c r="I30" s="30"/>
      <c r="J30" s="30"/>
      <c r="K30" s="30"/>
      <c r="L30" s="30"/>
      <c r="M30" s="30"/>
      <c r="N30" s="30"/>
      <c r="O30" s="30"/>
      <c r="P30" s="30"/>
      <c r="Q30" s="30"/>
      <c r="R30" s="30"/>
      <c r="S30" s="30"/>
      <c r="T30" s="30"/>
      <c r="U30" s="30"/>
    </row>
    <row r="31" spans="1:28" x14ac:dyDescent="0.2">
      <c r="A31" s="30"/>
      <c r="B31" s="30"/>
      <c r="C31" s="30"/>
      <c r="D31" s="30"/>
      <c r="E31" s="30"/>
      <c r="F31" s="30"/>
      <c r="G31" s="30"/>
      <c r="H31" s="30"/>
      <c r="I31" s="30"/>
      <c r="J31" s="30"/>
      <c r="K31" s="30"/>
      <c r="L31" s="30"/>
      <c r="M31" s="30"/>
      <c r="N31" s="30"/>
      <c r="O31" s="30"/>
      <c r="P31" s="30"/>
      <c r="Q31" s="30"/>
      <c r="R31" s="30"/>
      <c r="S31" s="30"/>
      <c r="T31" s="30"/>
      <c r="U31" s="30"/>
    </row>
    <row r="32" spans="1:28" x14ac:dyDescent="0.2">
      <c r="A32" s="30"/>
      <c r="B32" s="30"/>
      <c r="C32" s="30"/>
      <c r="D32" s="30"/>
      <c r="E32" s="30"/>
      <c r="F32" s="30"/>
      <c r="G32" s="30"/>
      <c r="H32" s="30"/>
      <c r="I32" s="30"/>
      <c r="J32" s="30"/>
      <c r="K32" s="30"/>
      <c r="L32" s="30"/>
      <c r="M32" s="30"/>
      <c r="N32" s="30"/>
      <c r="O32" s="30"/>
      <c r="P32" s="30"/>
      <c r="Q32" s="30"/>
      <c r="R32" s="30"/>
      <c r="S32" s="30"/>
      <c r="T32" s="30"/>
      <c r="U32" s="30"/>
    </row>
    <row r="33" spans="1:28" x14ac:dyDescent="0.2">
      <c r="A33" s="30"/>
      <c r="B33" s="30"/>
      <c r="C33" s="30"/>
      <c r="D33" s="30"/>
      <c r="E33" s="30"/>
      <c r="F33" s="30"/>
      <c r="G33" s="30"/>
      <c r="H33" s="30"/>
      <c r="I33" s="30"/>
      <c r="J33" s="30"/>
      <c r="K33" s="30"/>
      <c r="L33" s="30"/>
      <c r="M33" s="30"/>
      <c r="N33" s="30"/>
      <c r="O33" s="30"/>
      <c r="P33" s="30"/>
      <c r="Q33" s="30"/>
      <c r="R33" s="30"/>
      <c r="S33" s="30"/>
      <c r="T33" s="30"/>
      <c r="U33" s="30"/>
    </row>
    <row r="34" spans="1:28" x14ac:dyDescent="0.2">
      <c r="A34" s="30"/>
      <c r="B34" s="30"/>
      <c r="C34" s="30"/>
      <c r="D34" s="30"/>
      <c r="E34" s="30"/>
      <c r="F34" s="30"/>
      <c r="G34" s="30"/>
      <c r="H34" s="30"/>
      <c r="I34" s="30"/>
      <c r="J34" s="30"/>
      <c r="K34" s="30"/>
      <c r="L34" s="30"/>
      <c r="M34" s="30"/>
      <c r="N34" s="30"/>
      <c r="O34" s="30"/>
      <c r="P34" s="30"/>
      <c r="Q34" s="30"/>
      <c r="R34" s="30"/>
      <c r="S34" s="30"/>
      <c r="T34" s="30"/>
      <c r="U34" s="30"/>
    </row>
    <row r="35" spans="1:28" x14ac:dyDescent="0.2">
      <c r="A35" s="30"/>
      <c r="B35" s="30"/>
      <c r="C35" s="30"/>
      <c r="D35" s="30"/>
      <c r="E35" s="30"/>
      <c r="F35" s="30"/>
      <c r="G35" s="30"/>
      <c r="H35" s="30"/>
      <c r="I35" s="30"/>
      <c r="J35" s="30"/>
      <c r="K35" s="30"/>
      <c r="L35" s="30"/>
      <c r="M35" s="30"/>
      <c r="N35" s="30"/>
      <c r="O35" s="30"/>
      <c r="P35" s="30"/>
      <c r="Q35" s="30"/>
      <c r="R35" s="30"/>
      <c r="S35" s="30"/>
      <c r="T35" s="30"/>
      <c r="U35" s="30"/>
    </row>
    <row r="36" spans="1:28" x14ac:dyDescent="0.2">
      <c r="A36" s="30"/>
      <c r="B36" s="30"/>
      <c r="C36" s="30"/>
      <c r="D36" s="30"/>
      <c r="E36" s="30"/>
      <c r="F36" s="30"/>
      <c r="G36" s="30"/>
      <c r="H36" s="30"/>
      <c r="I36" s="30"/>
      <c r="J36" s="30"/>
      <c r="K36" s="30"/>
      <c r="L36" s="30"/>
      <c r="M36" s="30"/>
      <c r="N36" s="30"/>
      <c r="O36" s="30"/>
      <c r="P36" s="30"/>
      <c r="Q36" s="30"/>
      <c r="R36" s="30"/>
      <c r="S36" s="30"/>
      <c r="T36" s="30"/>
      <c r="U36" s="30"/>
    </row>
    <row r="37" spans="1:28" x14ac:dyDescent="0.2">
      <c r="A37" s="30"/>
      <c r="B37" s="30"/>
      <c r="C37" s="30"/>
      <c r="D37" s="30"/>
      <c r="E37" s="30"/>
      <c r="F37" s="30"/>
      <c r="G37" s="30"/>
      <c r="H37" s="30"/>
      <c r="I37" s="30"/>
      <c r="J37" s="30"/>
      <c r="K37" s="30"/>
      <c r="L37" s="30"/>
      <c r="M37" s="30"/>
      <c r="N37" s="30"/>
      <c r="O37" s="30"/>
      <c r="P37" s="30"/>
      <c r="Q37" s="30"/>
      <c r="R37" s="30"/>
      <c r="S37" s="30"/>
      <c r="T37" s="30"/>
      <c r="U37" s="30"/>
    </row>
    <row r="38" spans="1:28" x14ac:dyDescent="0.2">
      <c r="A38" s="30"/>
      <c r="B38" s="30"/>
      <c r="C38" s="30"/>
      <c r="D38" s="30"/>
      <c r="E38" s="30"/>
      <c r="F38" s="30"/>
      <c r="G38" s="30"/>
      <c r="H38" s="30"/>
      <c r="I38" s="30"/>
      <c r="J38" s="30"/>
      <c r="K38" s="30"/>
      <c r="L38" s="30"/>
      <c r="M38" s="30"/>
      <c r="N38" s="30"/>
      <c r="O38" s="30"/>
      <c r="P38" s="30"/>
      <c r="Q38" s="30"/>
      <c r="R38" s="30"/>
      <c r="S38" s="30"/>
      <c r="T38" s="30"/>
      <c r="U38" s="30"/>
    </row>
    <row r="39" spans="1:28" x14ac:dyDescent="0.2">
      <c r="A39" s="30"/>
      <c r="B39" s="30"/>
      <c r="C39" s="30"/>
      <c r="D39" s="30"/>
      <c r="E39" s="30"/>
      <c r="F39" s="30"/>
      <c r="G39" s="30"/>
      <c r="H39" s="30"/>
      <c r="I39" s="30"/>
      <c r="J39" s="30"/>
      <c r="K39" s="30"/>
      <c r="L39" s="30"/>
      <c r="M39" s="30"/>
      <c r="N39" s="30"/>
      <c r="O39" s="30"/>
      <c r="P39" s="30"/>
      <c r="Q39" s="30"/>
      <c r="R39" s="30"/>
      <c r="S39" s="30"/>
      <c r="T39" s="30"/>
      <c r="U39" s="30"/>
    </row>
    <row r="40" spans="1:28" x14ac:dyDescent="0.2">
      <c r="A40" s="2" t="s">
        <v>0</v>
      </c>
    </row>
    <row r="41" spans="1:28" x14ac:dyDescent="0.2">
      <c r="A41" s="30" t="s">
        <v>1</v>
      </c>
      <c r="B41" s="30" t="s">
        <v>112</v>
      </c>
      <c r="C41" s="30" t="s">
        <v>113</v>
      </c>
      <c r="D41" s="30" t="s">
        <v>114</v>
      </c>
      <c r="E41" s="30" t="s">
        <v>115</v>
      </c>
      <c r="F41" s="30" t="s">
        <v>116</v>
      </c>
      <c r="G41" s="30" t="s">
        <v>117</v>
      </c>
      <c r="H41" s="30" t="s">
        <v>118</v>
      </c>
      <c r="I41" s="30" t="s">
        <v>119</v>
      </c>
      <c r="J41" s="30" t="s">
        <v>120</v>
      </c>
      <c r="K41" s="30" t="s">
        <v>121</v>
      </c>
      <c r="L41" s="30" t="s">
        <v>122</v>
      </c>
      <c r="M41" s="30" t="s">
        <v>123</v>
      </c>
      <c r="N41" s="30" t="s">
        <v>124</v>
      </c>
      <c r="O41" s="30" t="s">
        <v>125</v>
      </c>
      <c r="P41" s="30" t="s">
        <v>126</v>
      </c>
      <c r="Q41" s="30" t="s">
        <v>15</v>
      </c>
      <c r="R41" s="30" t="s">
        <v>17</v>
      </c>
      <c r="S41" s="30" t="s">
        <v>18</v>
      </c>
      <c r="T41" s="30" t="s">
        <v>19</v>
      </c>
      <c r="U41" s="30" t="s">
        <v>20</v>
      </c>
      <c r="V41" t="s">
        <v>24</v>
      </c>
      <c r="W41" t="s">
        <v>13</v>
      </c>
      <c r="X41" t="s">
        <v>14</v>
      </c>
      <c r="Y41" s="62" t="s">
        <v>124</v>
      </c>
      <c r="Z41" t="s">
        <v>15</v>
      </c>
      <c r="AA41" t="s">
        <v>21</v>
      </c>
      <c r="AB41" t="s">
        <v>22</v>
      </c>
    </row>
    <row r="42" spans="1:28" x14ac:dyDescent="0.2">
      <c r="A42" s="50">
        <f>A12</f>
        <v>1</v>
      </c>
      <c r="B42" s="30">
        <f t="shared" ref="B42:U51" si="4">B12*B12</f>
        <v>0</v>
      </c>
      <c r="C42" s="30">
        <f t="shared" si="4"/>
        <v>0</v>
      </c>
      <c r="D42" s="30">
        <f t="shared" si="4"/>
        <v>0</v>
      </c>
      <c r="E42" s="30">
        <f t="shared" si="4"/>
        <v>0</v>
      </c>
      <c r="F42" s="30">
        <f t="shared" si="4"/>
        <v>0</v>
      </c>
      <c r="G42" s="30">
        <f t="shared" si="4"/>
        <v>0</v>
      </c>
      <c r="H42" s="30">
        <f t="shared" si="4"/>
        <v>0</v>
      </c>
      <c r="I42" s="30">
        <f t="shared" si="4"/>
        <v>0</v>
      </c>
      <c r="J42" s="30">
        <f t="shared" si="4"/>
        <v>0</v>
      </c>
      <c r="K42" s="30">
        <f t="shared" si="4"/>
        <v>0</v>
      </c>
      <c r="L42" s="30">
        <f t="shared" si="4"/>
        <v>0</v>
      </c>
      <c r="M42" s="30">
        <f t="shared" si="4"/>
        <v>0</v>
      </c>
      <c r="N42" s="30">
        <f t="shared" si="4"/>
        <v>0</v>
      </c>
      <c r="O42" s="30">
        <f t="shared" si="4"/>
        <v>0</v>
      </c>
      <c r="P42" s="30">
        <f t="shared" si="4"/>
        <v>0</v>
      </c>
      <c r="Q42" s="30">
        <f t="shared" si="4"/>
        <v>0</v>
      </c>
      <c r="R42" s="30">
        <f t="shared" si="4"/>
        <v>0</v>
      </c>
      <c r="S42" s="30">
        <f t="shared" si="4"/>
        <v>0</v>
      </c>
      <c r="T42" s="30">
        <f t="shared" si="4"/>
        <v>0</v>
      </c>
      <c r="U42" s="30">
        <f t="shared" si="4"/>
        <v>0</v>
      </c>
      <c r="V42">
        <f t="shared" ref="V42:V51" si="5">SUM(B42:U42)</f>
        <v>0</v>
      </c>
      <c r="W42">
        <f t="shared" ref="W42:W51" si="6">V12*V12</f>
        <v>0</v>
      </c>
      <c r="X42">
        <f>L4*(L4-1)</f>
        <v>380</v>
      </c>
      <c r="Y42" s="62">
        <f>L4*V42-W42</f>
        <v>0</v>
      </c>
      <c r="Z42">
        <f t="shared" ref="Z42:Z51" si="7">Y42/X42</f>
        <v>0</v>
      </c>
      <c r="AA42">
        <f t="shared" ref="AA42:AA51" si="8">SQRT(Z42)</f>
        <v>0</v>
      </c>
      <c r="AB42">
        <f t="shared" ref="AB42:AB51" si="9">AA42/4*100</f>
        <v>0</v>
      </c>
    </row>
    <row r="43" spans="1:28" x14ac:dyDescent="0.2">
      <c r="A43" s="50">
        <f t="shared" ref="A43:A51" si="10">A13</f>
        <v>2</v>
      </c>
      <c r="B43" s="30">
        <f t="shared" si="4"/>
        <v>0</v>
      </c>
      <c r="C43" s="30">
        <f t="shared" si="4"/>
        <v>0</v>
      </c>
      <c r="D43" s="30">
        <f t="shared" si="4"/>
        <v>0</v>
      </c>
      <c r="E43" s="30">
        <f t="shared" si="4"/>
        <v>0</v>
      </c>
      <c r="F43" s="30">
        <f t="shared" si="4"/>
        <v>0</v>
      </c>
      <c r="G43" s="30">
        <f t="shared" si="4"/>
        <v>0</v>
      </c>
      <c r="H43" s="30">
        <f t="shared" si="4"/>
        <v>0</v>
      </c>
      <c r="I43" s="30">
        <f t="shared" si="4"/>
        <v>0</v>
      </c>
      <c r="J43" s="30">
        <f t="shared" si="4"/>
        <v>0</v>
      </c>
      <c r="K43" s="30">
        <f t="shared" si="4"/>
        <v>0</v>
      </c>
      <c r="L43" s="30">
        <f t="shared" si="4"/>
        <v>0</v>
      </c>
      <c r="M43" s="30">
        <f t="shared" si="4"/>
        <v>0</v>
      </c>
      <c r="N43" s="30">
        <f t="shared" si="4"/>
        <v>0</v>
      </c>
      <c r="O43" s="30">
        <f t="shared" si="4"/>
        <v>0</v>
      </c>
      <c r="P43" s="30">
        <f t="shared" si="4"/>
        <v>0</v>
      </c>
      <c r="Q43" s="30">
        <f t="shared" si="4"/>
        <v>0</v>
      </c>
      <c r="R43" s="30">
        <f t="shared" si="4"/>
        <v>0</v>
      </c>
      <c r="S43" s="30">
        <f t="shared" si="4"/>
        <v>0</v>
      </c>
      <c r="T43" s="30">
        <f t="shared" si="4"/>
        <v>0</v>
      </c>
      <c r="U43" s="30">
        <f t="shared" si="4"/>
        <v>0</v>
      </c>
      <c r="V43">
        <f t="shared" si="5"/>
        <v>0</v>
      </c>
      <c r="W43">
        <f t="shared" si="6"/>
        <v>0</v>
      </c>
      <c r="X43">
        <f>L4*(L4-1)</f>
        <v>380</v>
      </c>
      <c r="Y43" s="62">
        <f>L4*V43-W43</f>
        <v>0</v>
      </c>
      <c r="Z43">
        <f t="shared" si="7"/>
        <v>0</v>
      </c>
      <c r="AA43">
        <f t="shared" si="8"/>
        <v>0</v>
      </c>
      <c r="AB43">
        <f t="shared" si="9"/>
        <v>0</v>
      </c>
    </row>
    <row r="44" spans="1:28" x14ac:dyDescent="0.2">
      <c r="A44" s="50">
        <f t="shared" si="10"/>
        <v>3</v>
      </c>
      <c r="B44" s="30">
        <f t="shared" si="4"/>
        <v>0</v>
      </c>
      <c r="C44" s="30">
        <f t="shared" si="4"/>
        <v>0</v>
      </c>
      <c r="D44" s="30">
        <f t="shared" si="4"/>
        <v>0</v>
      </c>
      <c r="E44" s="30">
        <f t="shared" si="4"/>
        <v>0</v>
      </c>
      <c r="F44" s="30">
        <f t="shared" si="4"/>
        <v>0</v>
      </c>
      <c r="G44" s="30">
        <f t="shared" si="4"/>
        <v>0</v>
      </c>
      <c r="H44" s="30">
        <f t="shared" si="4"/>
        <v>0</v>
      </c>
      <c r="I44" s="30">
        <f t="shared" si="4"/>
        <v>0</v>
      </c>
      <c r="J44" s="30">
        <f t="shared" si="4"/>
        <v>0</v>
      </c>
      <c r="K44" s="30">
        <f t="shared" si="4"/>
        <v>0</v>
      </c>
      <c r="L44" s="30">
        <f t="shared" si="4"/>
        <v>0</v>
      </c>
      <c r="M44" s="30">
        <f t="shared" si="4"/>
        <v>0</v>
      </c>
      <c r="N44" s="30">
        <f t="shared" si="4"/>
        <v>0</v>
      </c>
      <c r="O44" s="30">
        <f t="shared" si="4"/>
        <v>0</v>
      </c>
      <c r="P44" s="30">
        <f t="shared" si="4"/>
        <v>0</v>
      </c>
      <c r="Q44" s="30">
        <f t="shared" si="4"/>
        <v>0</v>
      </c>
      <c r="R44" s="30">
        <f t="shared" si="4"/>
        <v>0</v>
      </c>
      <c r="S44" s="30">
        <f t="shared" si="4"/>
        <v>0</v>
      </c>
      <c r="T44" s="30">
        <f t="shared" si="4"/>
        <v>0</v>
      </c>
      <c r="U44" s="30">
        <f t="shared" si="4"/>
        <v>0</v>
      </c>
      <c r="V44">
        <f t="shared" si="5"/>
        <v>0</v>
      </c>
      <c r="W44">
        <f t="shared" si="6"/>
        <v>0</v>
      </c>
      <c r="X44">
        <f>L4*(L4-1)</f>
        <v>380</v>
      </c>
      <c r="Y44" s="62">
        <f>L4*V44-W44</f>
        <v>0</v>
      </c>
      <c r="Z44">
        <f t="shared" si="7"/>
        <v>0</v>
      </c>
      <c r="AA44">
        <f t="shared" si="8"/>
        <v>0</v>
      </c>
      <c r="AB44">
        <f t="shared" si="9"/>
        <v>0</v>
      </c>
    </row>
    <row r="45" spans="1:28" x14ac:dyDescent="0.2">
      <c r="A45" s="50">
        <f t="shared" si="10"/>
        <v>4</v>
      </c>
      <c r="B45" s="30">
        <f t="shared" si="4"/>
        <v>0</v>
      </c>
      <c r="C45" s="30">
        <f t="shared" si="4"/>
        <v>0</v>
      </c>
      <c r="D45" s="30">
        <f t="shared" si="4"/>
        <v>0</v>
      </c>
      <c r="E45" s="30">
        <f t="shared" si="4"/>
        <v>0</v>
      </c>
      <c r="F45" s="30">
        <f t="shared" si="4"/>
        <v>0</v>
      </c>
      <c r="G45" s="30">
        <f t="shared" si="4"/>
        <v>0</v>
      </c>
      <c r="H45" s="30">
        <f t="shared" si="4"/>
        <v>0</v>
      </c>
      <c r="I45" s="30">
        <f t="shared" si="4"/>
        <v>0</v>
      </c>
      <c r="J45" s="30">
        <f t="shared" si="4"/>
        <v>0</v>
      </c>
      <c r="K45" s="30">
        <f t="shared" si="4"/>
        <v>0</v>
      </c>
      <c r="L45" s="30">
        <f t="shared" si="4"/>
        <v>0</v>
      </c>
      <c r="M45" s="30">
        <f t="shared" si="4"/>
        <v>0</v>
      </c>
      <c r="N45" s="30">
        <f t="shared" si="4"/>
        <v>0</v>
      </c>
      <c r="O45" s="30">
        <f t="shared" si="4"/>
        <v>0</v>
      </c>
      <c r="P45" s="30">
        <f t="shared" si="4"/>
        <v>0</v>
      </c>
      <c r="Q45" s="30">
        <f t="shared" si="4"/>
        <v>0</v>
      </c>
      <c r="R45" s="30">
        <f t="shared" si="4"/>
        <v>0</v>
      </c>
      <c r="S45" s="30">
        <f t="shared" si="4"/>
        <v>0</v>
      </c>
      <c r="T45" s="30">
        <f t="shared" si="4"/>
        <v>0</v>
      </c>
      <c r="U45" s="30">
        <f t="shared" si="4"/>
        <v>0</v>
      </c>
      <c r="V45">
        <f t="shared" si="5"/>
        <v>0</v>
      </c>
      <c r="W45">
        <f t="shared" si="6"/>
        <v>0</v>
      </c>
      <c r="X45">
        <f>L4*(L4-1)</f>
        <v>380</v>
      </c>
      <c r="Y45" s="62">
        <f>L4*V45-W45</f>
        <v>0</v>
      </c>
      <c r="Z45">
        <f t="shared" si="7"/>
        <v>0</v>
      </c>
      <c r="AA45">
        <f t="shared" si="8"/>
        <v>0</v>
      </c>
      <c r="AB45">
        <f t="shared" si="9"/>
        <v>0</v>
      </c>
    </row>
    <row r="46" spans="1:28" x14ac:dyDescent="0.2">
      <c r="A46" s="50">
        <f t="shared" si="10"/>
        <v>5</v>
      </c>
      <c r="B46" s="30">
        <f t="shared" si="4"/>
        <v>0</v>
      </c>
      <c r="C46" s="30">
        <f t="shared" si="4"/>
        <v>0</v>
      </c>
      <c r="D46" s="30">
        <f t="shared" si="4"/>
        <v>0</v>
      </c>
      <c r="E46" s="30">
        <f t="shared" si="4"/>
        <v>0</v>
      </c>
      <c r="F46" s="30">
        <f t="shared" si="4"/>
        <v>0</v>
      </c>
      <c r="G46" s="30">
        <f t="shared" si="4"/>
        <v>0</v>
      </c>
      <c r="H46" s="30">
        <f t="shared" si="4"/>
        <v>0</v>
      </c>
      <c r="I46" s="30">
        <f t="shared" si="4"/>
        <v>0</v>
      </c>
      <c r="J46" s="30">
        <f t="shared" si="4"/>
        <v>0</v>
      </c>
      <c r="K46" s="30">
        <f t="shared" si="4"/>
        <v>0</v>
      </c>
      <c r="L46" s="30">
        <f t="shared" si="4"/>
        <v>0</v>
      </c>
      <c r="M46" s="30">
        <f t="shared" si="4"/>
        <v>0</v>
      </c>
      <c r="N46" s="30">
        <f t="shared" si="4"/>
        <v>0</v>
      </c>
      <c r="O46" s="30">
        <f t="shared" si="4"/>
        <v>0</v>
      </c>
      <c r="P46" s="30">
        <f t="shared" si="4"/>
        <v>0</v>
      </c>
      <c r="Q46" s="30">
        <f t="shared" si="4"/>
        <v>0</v>
      </c>
      <c r="R46" s="30">
        <f t="shared" si="4"/>
        <v>0</v>
      </c>
      <c r="S46" s="30">
        <f t="shared" si="4"/>
        <v>0</v>
      </c>
      <c r="T46" s="30">
        <f t="shared" si="4"/>
        <v>0</v>
      </c>
      <c r="U46" s="30">
        <f t="shared" si="4"/>
        <v>0</v>
      </c>
      <c r="V46">
        <f t="shared" si="5"/>
        <v>0</v>
      </c>
      <c r="W46">
        <f t="shared" si="6"/>
        <v>0</v>
      </c>
      <c r="X46">
        <f>L4*(L4-1)</f>
        <v>380</v>
      </c>
      <c r="Y46" s="62">
        <f>L4*V46-W46</f>
        <v>0</v>
      </c>
      <c r="Z46">
        <f t="shared" si="7"/>
        <v>0</v>
      </c>
      <c r="AA46">
        <f t="shared" si="8"/>
        <v>0</v>
      </c>
      <c r="AB46">
        <f t="shared" si="9"/>
        <v>0</v>
      </c>
    </row>
    <row r="47" spans="1:28" x14ac:dyDescent="0.2">
      <c r="A47" s="50">
        <f t="shared" si="10"/>
        <v>6</v>
      </c>
      <c r="B47" s="30">
        <f t="shared" si="4"/>
        <v>0</v>
      </c>
      <c r="C47" s="30">
        <f t="shared" si="4"/>
        <v>0</v>
      </c>
      <c r="D47" s="30">
        <f t="shared" si="4"/>
        <v>0</v>
      </c>
      <c r="E47" s="30">
        <f t="shared" si="4"/>
        <v>0</v>
      </c>
      <c r="F47" s="30">
        <f t="shared" si="4"/>
        <v>0</v>
      </c>
      <c r="G47" s="30">
        <f t="shared" si="4"/>
        <v>0</v>
      </c>
      <c r="H47" s="30">
        <f t="shared" si="4"/>
        <v>0</v>
      </c>
      <c r="I47" s="30">
        <f t="shared" si="4"/>
        <v>0</v>
      </c>
      <c r="J47" s="30">
        <f t="shared" si="4"/>
        <v>0</v>
      </c>
      <c r="K47" s="30">
        <f t="shared" si="4"/>
        <v>0</v>
      </c>
      <c r="L47" s="30">
        <f t="shared" si="4"/>
        <v>0</v>
      </c>
      <c r="M47" s="30">
        <f t="shared" si="4"/>
        <v>0</v>
      </c>
      <c r="N47" s="30">
        <f t="shared" si="4"/>
        <v>0</v>
      </c>
      <c r="O47" s="30">
        <f t="shared" si="4"/>
        <v>0</v>
      </c>
      <c r="P47" s="30">
        <f t="shared" si="4"/>
        <v>0</v>
      </c>
      <c r="Q47" s="30">
        <f t="shared" si="4"/>
        <v>0</v>
      </c>
      <c r="R47" s="30">
        <f t="shared" si="4"/>
        <v>0</v>
      </c>
      <c r="S47" s="30">
        <f t="shared" si="4"/>
        <v>0</v>
      </c>
      <c r="T47" s="30">
        <f t="shared" si="4"/>
        <v>0</v>
      </c>
      <c r="U47" s="30">
        <f t="shared" si="4"/>
        <v>0</v>
      </c>
      <c r="V47">
        <f t="shared" si="5"/>
        <v>0</v>
      </c>
      <c r="W47">
        <f t="shared" si="6"/>
        <v>0</v>
      </c>
      <c r="X47">
        <f>L4*(L4-1)</f>
        <v>380</v>
      </c>
      <c r="Y47" s="62">
        <f>L4*V47-W47</f>
        <v>0</v>
      </c>
      <c r="Z47">
        <f t="shared" si="7"/>
        <v>0</v>
      </c>
      <c r="AA47">
        <f t="shared" si="8"/>
        <v>0</v>
      </c>
      <c r="AB47">
        <f t="shared" si="9"/>
        <v>0</v>
      </c>
    </row>
    <row r="48" spans="1:28" x14ac:dyDescent="0.2">
      <c r="A48" s="50">
        <f t="shared" si="10"/>
        <v>7</v>
      </c>
      <c r="B48" s="30">
        <f t="shared" si="4"/>
        <v>0</v>
      </c>
      <c r="C48" s="30">
        <f t="shared" si="4"/>
        <v>0</v>
      </c>
      <c r="D48" s="30">
        <f t="shared" si="4"/>
        <v>0</v>
      </c>
      <c r="E48" s="30">
        <f t="shared" si="4"/>
        <v>0</v>
      </c>
      <c r="F48" s="30">
        <f t="shared" si="4"/>
        <v>0</v>
      </c>
      <c r="G48" s="30">
        <f t="shared" si="4"/>
        <v>0</v>
      </c>
      <c r="H48" s="30">
        <f t="shared" si="4"/>
        <v>0</v>
      </c>
      <c r="I48" s="30">
        <f t="shared" si="4"/>
        <v>0</v>
      </c>
      <c r="J48" s="30">
        <f t="shared" si="4"/>
        <v>0</v>
      </c>
      <c r="K48" s="30">
        <f t="shared" si="4"/>
        <v>0</v>
      </c>
      <c r="L48" s="30">
        <f t="shared" si="4"/>
        <v>0</v>
      </c>
      <c r="M48" s="30">
        <f t="shared" si="4"/>
        <v>0</v>
      </c>
      <c r="N48" s="30">
        <f t="shared" si="4"/>
        <v>0</v>
      </c>
      <c r="O48" s="30">
        <f t="shared" si="4"/>
        <v>0</v>
      </c>
      <c r="P48" s="30">
        <f t="shared" si="4"/>
        <v>0</v>
      </c>
      <c r="Q48" s="30">
        <f t="shared" si="4"/>
        <v>0</v>
      </c>
      <c r="R48" s="30">
        <f t="shared" si="4"/>
        <v>0</v>
      </c>
      <c r="S48" s="30">
        <f t="shared" si="4"/>
        <v>0</v>
      </c>
      <c r="T48" s="30">
        <f t="shared" si="4"/>
        <v>0</v>
      </c>
      <c r="U48" s="30">
        <f t="shared" si="4"/>
        <v>0</v>
      </c>
      <c r="V48">
        <f t="shared" si="5"/>
        <v>0</v>
      </c>
      <c r="W48">
        <f t="shared" si="6"/>
        <v>0</v>
      </c>
      <c r="X48">
        <f>L4*(L4-1)</f>
        <v>380</v>
      </c>
      <c r="Y48" s="62">
        <f>L4*V48-W48</f>
        <v>0</v>
      </c>
      <c r="Z48">
        <f t="shared" si="7"/>
        <v>0</v>
      </c>
      <c r="AA48">
        <f t="shared" si="8"/>
        <v>0</v>
      </c>
      <c r="AB48">
        <f t="shared" si="9"/>
        <v>0</v>
      </c>
    </row>
    <row r="49" spans="1:28" x14ac:dyDescent="0.2">
      <c r="A49" s="50">
        <f t="shared" si="10"/>
        <v>8</v>
      </c>
      <c r="B49" s="30">
        <f t="shared" si="4"/>
        <v>0</v>
      </c>
      <c r="C49" s="30">
        <f t="shared" si="4"/>
        <v>0</v>
      </c>
      <c r="D49" s="30">
        <f t="shared" si="4"/>
        <v>0</v>
      </c>
      <c r="E49" s="30">
        <f t="shared" si="4"/>
        <v>0</v>
      </c>
      <c r="F49" s="30">
        <f t="shared" si="4"/>
        <v>0</v>
      </c>
      <c r="G49" s="30">
        <f t="shared" si="4"/>
        <v>0</v>
      </c>
      <c r="H49" s="30">
        <f t="shared" si="4"/>
        <v>0</v>
      </c>
      <c r="I49" s="30">
        <f t="shared" si="4"/>
        <v>0</v>
      </c>
      <c r="J49" s="30">
        <f t="shared" si="4"/>
        <v>0</v>
      </c>
      <c r="K49" s="30">
        <f t="shared" si="4"/>
        <v>0</v>
      </c>
      <c r="L49" s="30">
        <f t="shared" si="4"/>
        <v>0</v>
      </c>
      <c r="M49" s="30">
        <f t="shared" si="4"/>
        <v>0</v>
      </c>
      <c r="N49" s="30">
        <f t="shared" si="4"/>
        <v>0</v>
      </c>
      <c r="O49" s="30">
        <f t="shared" si="4"/>
        <v>0</v>
      </c>
      <c r="P49" s="30">
        <f t="shared" si="4"/>
        <v>0</v>
      </c>
      <c r="Q49" s="30">
        <f t="shared" si="4"/>
        <v>0</v>
      </c>
      <c r="R49" s="30">
        <f t="shared" si="4"/>
        <v>0</v>
      </c>
      <c r="S49" s="30">
        <f t="shared" si="4"/>
        <v>0</v>
      </c>
      <c r="T49" s="30">
        <f t="shared" si="4"/>
        <v>0</v>
      </c>
      <c r="U49" s="30">
        <f t="shared" si="4"/>
        <v>0</v>
      </c>
      <c r="V49">
        <f t="shared" si="5"/>
        <v>0</v>
      </c>
      <c r="W49">
        <f t="shared" si="6"/>
        <v>0</v>
      </c>
      <c r="X49">
        <f>L4*(L4-1)</f>
        <v>380</v>
      </c>
      <c r="Y49" s="62">
        <f>L4*V49-W49</f>
        <v>0</v>
      </c>
      <c r="Z49">
        <f t="shared" si="7"/>
        <v>0</v>
      </c>
      <c r="AA49">
        <f t="shared" si="8"/>
        <v>0</v>
      </c>
      <c r="AB49">
        <f t="shared" si="9"/>
        <v>0</v>
      </c>
    </row>
    <row r="50" spans="1:28" x14ac:dyDescent="0.2">
      <c r="A50" s="50">
        <f t="shared" si="10"/>
        <v>9</v>
      </c>
      <c r="B50" s="30">
        <f t="shared" si="4"/>
        <v>0</v>
      </c>
      <c r="C50" s="30">
        <f t="shared" si="4"/>
        <v>0</v>
      </c>
      <c r="D50" s="30">
        <f t="shared" si="4"/>
        <v>0</v>
      </c>
      <c r="E50" s="30">
        <f t="shared" si="4"/>
        <v>0</v>
      </c>
      <c r="F50" s="30">
        <f t="shared" si="4"/>
        <v>0</v>
      </c>
      <c r="G50" s="30">
        <f t="shared" si="4"/>
        <v>0</v>
      </c>
      <c r="H50" s="30">
        <f t="shared" si="4"/>
        <v>0</v>
      </c>
      <c r="I50" s="30">
        <f t="shared" si="4"/>
        <v>0</v>
      </c>
      <c r="J50" s="30">
        <f t="shared" si="4"/>
        <v>0</v>
      </c>
      <c r="K50" s="30">
        <f t="shared" si="4"/>
        <v>0</v>
      </c>
      <c r="L50" s="30">
        <f t="shared" si="4"/>
        <v>0</v>
      </c>
      <c r="M50" s="30">
        <f t="shared" si="4"/>
        <v>0</v>
      </c>
      <c r="N50" s="30">
        <f t="shared" si="4"/>
        <v>0</v>
      </c>
      <c r="O50" s="30">
        <f t="shared" si="4"/>
        <v>0</v>
      </c>
      <c r="P50" s="30">
        <f t="shared" si="4"/>
        <v>0</v>
      </c>
      <c r="Q50" s="30">
        <f t="shared" si="4"/>
        <v>0</v>
      </c>
      <c r="R50" s="30">
        <f t="shared" si="4"/>
        <v>0</v>
      </c>
      <c r="S50" s="30">
        <f t="shared" si="4"/>
        <v>0</v>
      </c>
      <c r="T50" s="30">
        <f t="shared" si="4"/>
        <v>0</v>
      </c>
      <c r="U50" s="30">
        <f t="shared" si="4"/>
        <v>0</v>
      </c>
      <c r="V50">
        <f t="shared" si="5"/>
        <v>0</v>
      </c>
      <c r="W50">
        <f t="shared" si="6"/>
        <v>0</v>
      </c>
      <c r="X50">
        <f>L4*(L4-1)</f>
        <v>380</v>
      </c>
      <c r="Y50" s="62">
        <f>L4*V50-W50</f>
        <v>0</v>
      </c>
      <c r="Z50">
        <f t="shared" si="7"/>
        <v>0</v>
      </c>
      <c r="AA50">
        <f t="shared" si="8"/>
        <v>0</v>
      </c>
      <c r="AB50">
        <f t="shared" si="9"/>
        <v>0</v>
      </c>
    </row>
    <row r="51" spans="1:28" x14ac:dyDescent="0.2">
      <c r="A51" s="50">
        <f t="shared" si="10"/>
        <v>10</v>
      </c>
      <c r="B51" s="30">
        <f t="shared" si="4"/>
        <v>0</v>
      </c>
      <c r="C51" s="30">
        <f t="shared" si="4"/>
        <v>0</v>
      </c>
      <c r="D51" s="30">
        <f t="shared" si="4"/>
        <v>0</v>
      </c>
      <c r="E51" s="30">
        <f t="shared" si="4"/>
        <v>0</v>
      </c>
      <c r="F51" s="30">
        <f t="shared" si="4"/>
        <v>0</v>
      </c>
      <c r="G51" s="30">
        <f t="shared" si="4"/>
        <v>0</v>
      </c>
      <c r="H51" s="30">
        <f t="shared" si="4"/>
        <v>0</v>
      </c>
      <c r="I51" s="30">
        <f t="shared" si="4"/>
        <v>0</v>
      </c>
      <c r="J51" s="30">
        <f t="shared" si="4"/>
        <v>0</v>
      </c>
      <c r="K51" s="30">
        <f t="shared" si="4"/>
        <v>0</v>
      </c>
      <c r="L51" s="30">
        <f t="shared" si="4"/>
        <v>0</v>
      </c>
      <c r="M51" s="30">
        <f t="shared" si="4"/>
        <v>0</v>
      </c>
      <c r="N51" s="30">
        <f t="shared" si="4"/>
        <v>0</v>
      </c>
      <c r="O51" s="30">
        <f t="shared" si="4"/>
        <v>0</v>
      </c>
      <c r="P51" s="30">
        <f t="shared" si="4"/>
        <v>0</v>
      </c>
      <c r="Q51" s="30">
        <f t="shared" si="4"/>
        <v>0</v>
      </c>
      <c r="R51" s="30">
        <f t="shared" si="4"/>
        <v>0</v>
      </c>
      <c r="S51" s="30">
        <f t="shared" si="4"/>
        <v>0</v>
      </c>
      <c r="T51" s="30">
        <f t="shared" si="4"/>
        <v>0</v>
      </c>
      <c r="U51" s="30">
        <f t="shared" si="4"/>
        <v>0</v>
      </c>
      <c r="V51">
        <f t="shared" si="5"/>
        <v>0</v>
      </c>
      <c r="W51">
        <f t="shared" si="6"/>
        <v>0</v>
      </c>
      <c r="X51">
        <f>L4*(L4-1)</f>
        <v>380</v>
      </c>
      <c r="Y51" s="62">
        <f>L4*V51-W51</f>
        <v>0</v>
      </c>
      <c r="Z51">
        <f t="shared" si="7"/>
        <v>0</v>
      </c>
      <c r="AA51">
        <f t="shared" si="8"/>
        <v>0</v>
      </c>
      <c r="AB51">
        <f t="shared" si="9"/>
        <v>0</v>
      </c>
    </row>
    <row r="52" spans="1:28" x14ac:dyDescent="0.2">
      <c r="A52" s="50"/>
      <c r="B52" s="30"/>
      <c r="C52" s="30"/>
      <c r="D52" s="30"/>
      <c r="E52" s="30"/>
      <c r="F52" s="30"/>
      <c r="G52" s="30"/>
      <c r="H52" s="30"/>
      <c r="I52" s="30"/>
      <c r="J52" s="30"/>
      <c r="K52" s="30"/>
      <c r="L52" s="30"/>
      <c r="M52" s="30"/>
      <c r="N52" s="30"/>
      <c r="O52" s="30"/>
      <c r="P52" s="30"/>
      <c r="Q52" s="30"/>
      <c r="R52" s="30"/>
      <c r="S52" s="30"/>
      <c r="T52" s="30"/>
      <c r="U52" s="30"/>
    </row>
    <row r="53" spans="1:28" x14ac:dyDescent="0.2">
      <c r="A53" s="50"/>
      <c r="B53" s="30"/>
      <c r="C53" s="30"/>
      <c r="D53" s="30"/>
      <c r="E53" s="30"/>
      <c r="F53" s="30"/>
      <c r="G53" s="30"/>
      <c r="H53" s="30"/>
      <c r="I53" s="30"/>
      <c r="J53" s="30"/>
      <c r="K53" s="30"/>
      <c r="L53" s="30"/>
      <c r="M53" s="30"/>
      <c r="N53" s="30"/>
      <c r="O53" s="30"/>
      <c r="P53" s="30"/>
      <c r="Q53" s="30"/>
      <c r="R53" s="30"/>
      <c r="S53" s="30"/>
      <c r="T53" s="30"/>
      <c r="U53" s="30"/>
    </row>
    <row r="54" spans="1:28" x14ac:dyDescent="0.2">
      <c r="A54" s="50"/>
      <c r="B54" s="30"/>
      <c r="C54" s="30"/>
      <c r="D54" s="30"/>
      <c r="E54" s="30"/>
      <c r="F54" s="30"/>
      <c r="G54" s="30"/>
      <c r="H54" s="30"/>
      <c r="I54" s="30"/>
      <c r="J54" s="30"/>
      <c r="K54" s="30"/>
      <c r="L54" s="30"/>
      <c r="M54" s="30"/>
      <c r="N54" s="30"/>
      <c r="O54" s="30"/>
      <c r="P54" s="30"/>
      <c r="Q54" s="30"/>
      <c r="R54" s="30"/>
      <c r="S54" s="30"/>
      <c r="T54" s="30"/>
      <c r="U54" s="30"/>
    </row>
    <row r="55" spans="1:28" x14ac:dyDescent="0.2">
      <c r="B55" s="30"/>
      <c r="C55" s="30"/>
      <c r="D55" s="30"/>
      <c r="E55" s="30"/>
      <c r="F55" s="30"/>
      <c r="G55" s="30"/>
      <c r="H55" s="30"/>
      <c r="I55" s="30"/>
      <c r="J55" s="30"/>
      <c r="K55" s="30"/>
      <c r="L55" s="30"/>
      <c r="M55" s="30"/>
      <c r="N55" s="30"/>
      <c r="O55" s="30"/>
      <c r="P55" s="30"/>
      <c r="Q55" s="30"/>
      <c r="R55" s="30"/>
      <c r="S55" s="30"/>
      <c r="T55" s="30"/>
      <c r="U55" s="30"/>
    </row>
    <row r="56" spans="1:28" x14ac:dyDescent="0.2">
      <c r="B56" s="30"/>
      <c r="C56" s="30"/>
      <c r="D56" s="30"/>
      <c r="E56" s="30"/>
      <c r="F56" s="30"/>
      <c r="G56" s="30"/>
      <c r="H56" s="30"/>
      <c r="I56" s="30"/>
      <c r="J56" s="30"/>
      <c r="K56" s="30"/>
      <c r="L56" s="30"/>
      <c r="M56" s="30"/>
      <c r="N56" s="30"/>
      <c r="O56" s="30"/>
      <c r="P56" s="30"/>
      <c r="Q56" s="30"/>
      <c r="R56" s="30"/>
      <c r="S56" s="30"/>
      <c r="T56" s="30"/>
      <c r="U56" s="30"/>
    </row>
    <row r="57" spans="1:28" x14ac:dyDescent="0.2">
      <c r="B57" s="30"/>
      <c r="C57" s="30"/>
      <c r="D57" s="30"/>
      <c r="E57" s="30"/>
      <c r="F57" s="30"/>
      <c r="G57" s="30"/>
      <c r="H57" s="30"/>
      <c r="I57" s="30"/>
      <c r="J57" s="30"/>
      <c r="K57" s="30"/>
      <c r="L57" s="30"/>
      <c r="M57" s="30"/>
      <c r="N57" s="30"/>
      <c r="O57" s="30"/>
      <c r="P57" s="30"/>
      <c r="Q57" s="30"/>
      <c r="R57" s="30"/>
      <c r="S57" s="30"/>
      <c r="T57" s="30"/>
      <c r="U57" s="30"/>
    </row>
  </sheetData>
  <pageMargins left="0.78740157499999996" right="0.78740157499999996" top="0.984251969" bottom="0.984251969" header="0.5" footer="0.5"/>
  <pageSetup paperSize="9" orientation="landscape"/>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AB55"/>
  <sheetViews>
    <sheetView workbookViewId="0">
      <selection activeCell="W2" sqref="W2:AB7"/>
    </sheetView>
  </sheetViews>
  <sheetFormatPr baseColWidth="10" defaultColWidth="8.85546875" defaultRowHeight="12.75" x14ac:dyDescent="0.2"/>
  <cols>
    <col min="1" max="1" width="6.42578125" customWidth="1"/>
    <col min="2" max="21" width="3.7109375" customWidth="1"/>
    <col min="22" max="22" width="7.85546875" customWidth="1"/>
    <col min="23" max="23" width="8.7109375" customWidth="1"/>
    <col min="24" max="24" width="8.85546875" customWidth="1"/>
    <col min="25" max="25" width="6.85546875" style="62" customWidth="1"/>
    <col min="26" max="26" width="16.42578125" customWidth="1"/>
  </cols>
  <sheetData>
    <row r="1" spans="1:28" ht="18" x14ac:dyDescent="0.25">
      <c r="A1" s="1" t="s">
        <v>50</v>
      </c>
    </row>
    <row r="2" spans="1:28" x14ac:dyDescent="0.2">
      <c r="L2" s="25" t="s">
        <v>61</v>
      </c>
      <c r="M2" s="4"/>
      <c r="N2" s="4"/>
      <c r="O2" s="4"/>
      <c r="P2" s="4"/>
      <c r="Q2" s="4"/>
      <c r="R2" s="4"/>
      <c r="S2" s="4"/>
      <c r="T2" s="4"/>
      <c r="U2" s="5"/>
      <c r="W2" s="25"/>
      <c r="X2" s="4"/>
      <c r="Y2" s="63"/>
      <c r="Z2" s="4"/>
      <c r="AA2" s="4"/>
      <c r="AB2" s="5"/>
    </row>
    <row r="3" spans="1:28" ht="13.5" thickBot="1" x14ac:dyDescent="0.25">
      <c r="B3" s="3" t="s">
        <v>32</v>
      </c>
      <c r="C3" s="7"/>
      <c r="D3" s="7"/>
      <c r="G3" s="7"/>
      <c r="H3" s="7"/>
      <c r="I3" s="7"/>
      <c r="J3" s="7"/>
      <c r="K3" s="7"/>
      <c r="L3" s="47" t="s">
        <v>62</v>
      </c>
      <c r="M3" s="7"/>
      <c r="N3" s="7"/>
      <c r="O3" s="7"/>
      <c r="P3" s="21">
        <f>V28*V28</f>
        <v>0</v>
      </c>
      <c r="Q3" s="40" t="s">
        <v>13</v>
      </c>
      <c r="S3" s="7"/>
      <c r="T3" s="7"/>
      <c r="U3" s="8"/>
      <c r="W3" s="33"/>
      <c r="X3" s="7"/>
      <c r="Y3" s="64"/>
      <c r="Z3" s="7"/>
      <c r="AA3" s="7"/>
      <c r="AB3" s="8"/>
    </row>
    <row r="4" spans="1:28" x14ac:dyDescent="0.2">
      <c r="A4" s="22">
        <f>(P8/L6)*100</f>
        <v>0</v>
      </c>
      <c r="B4" s="13" t="s">
        <v>51</v>
      </c>
      <c r="C4" s="14"/>
      <c r="D4" s="14"/>
      <c r="E4" s="14"/>
      <c r="F4" s="15"/>
      <c r="G4" s="15"/>
      <c r="H4" s="15"/>
      <c r="I4" s="15"/>
      <c r="J4" s="16"/>
      <c r="K4" s="7"/>
      <c r="L4" s="60">
        <f>Aperçu!N2</f>
        <v>20</v>
      </c>
      <c r="M4" s="7"/>
      <c r="N4" s="7"/>
      <c r="O4" s="7"/>
      <c r="P4" s="6">
        <f>L4*(L4-1)</f>
        <v>380</v>
      </c>
      <c r="Q4" s="40" t="s">
        <v>14</v>
      </c>
      <c r="S4" s="7"/>
      <c r="T4" s="7"/>
      <c r="U4" s="8"/>
      <c r="W4" s="33"/>
      <c r="X4" s="7"/>
      <c r="Y4" s="64"/>
      <c r="Z4" s="7"/>
      <c r="AA4" s="7"/>
      <c r="AB4" s="8"/>
    </row>
    <row r="5" spans="1:28" ht="13.5" thickBot="1" x14ac:dyDescent="0.25">
      <c r="A5" s="23">
        <f>100-(P9*2)</f>
        <v>100</v>
      </c>
      <c r="B5" s="17" t="s">
        <v>52</v>
      </c>
      <c r="C5" s="18"/>
      <c r="D5" s="18"/>
      <c r="E5" s="18"/>
      <c r="F5" s="19"/>
      <c r="G5" s="19"/>
      <c r="H5" s="19"/>
      <c r="I5" s="19"/>
      <c r="J5" s="20"/>
      <c r="K5" s="7"/>
      <c r="L5" s="47" t="s">
        <v>63</v>
      </c>
      <c r="M5" s="7"/>
      <c r="N5" s="7"/>
      <c r="O5" s="7"/>
      <c r="P5" s="21">
        <f>(L4*V29)-P3</f>
        <v>0</v>
      </c>
      <c r="Q5" s="40" t="s">
        <v>124</v>
      </c>
      <c r="S5" s="7"/>
      <c r="T5" s="7"/>
      <c r="U5" s="8"/>
      <c r="W5" s="33"/>
      <c r="X5" s="7"/>
      <c r="Y5" s="64"/>
      <c r="Z5" s="7"/>
      <c r="AA5" s="7"/>
      <c r="AB5" s="8"/>
    </row>
    <row r="6" spans="1:28" x14ac:dyDescent="0.2">
      <c r="K6" s="7"/>
      <c r="L6" s="60">
        <f>10*5</f>
        <v>50</v>
      </c>
      <c r="M6" s="7"/>
      <c r="N6" s="9"/>
      <c r="O6" s="7"/>
      <c r="P6" s="6">
        <f>P5/P4</f>
        <v>0</v>
      </c>
      <c r="Q6" s="40" t="s">
        <v>15</v>
      </c>
      <c r="S6" s="7"/>
      <c r="T6" s="7"/>
      <c r="U6" s="8"/>
      <c r="W6" s="33"/>
      <c r="X6" s="7"/>
      <c r="Y6" s="64"/>
      <c r="Z6" s="7"/>
      <c r="AA6" s="7"/>
      <c r="AB6" s="8"/>
    </row>
    <row r="7" spans="1:28" x14ac:dyDescent="0.2">
      <c r="C7" s="7"/>
      <c r="D7" s="7"/>
      <c r="G7" s="7"/>
      <c r="H7" s="7"/>
      <c r="I7" s="7"/>
      <c r="J7" s="7"/>
      <c r="K7" s="7"/>
      <c r="L7" s="47" t="s">
        <v>64</v>
      </c>
      <c r="M7" s="7"/>
      <c r="N7" s="9"/>
      <c r="O7" s="7"/>
      <c r="P7" s="6">
        <f>SQRT(P6)</f>
        <v>0</v>
      </c>
      <c r="Q7" s="40" t="s">
        <v>16</v>
      </c>
      <c r="S7" s="7"/>
      <c r="T7" s="7"/>
      <c r="U7" s="8"/>
      <c r="W7" s="46"/>
      <c r="X7" s="11"/>
      <c r="Y7" s="65"/>
      <c r="Z7" s="11"/>
      <c r="AA7" s="11"/>
      <c r="AB7" s="12"/>
    </row>
    <row r="8" spans="1:28" x14ac:dyDescent="0.2">
      <c r="C8" s="7"/>
      <c r="D8" s="7"/>
      <c r="G8" s="7"/>
      <c r="H8" s="7"/>
      <c r="I8" s="7"/>
      <c r="J8" s="7"/>
      <c r="L8" s="60">
        <v>10</v>
      </c>
      <c r="M8" s="7"/>
      <c r="N8" s="7"/>
      <c r="O8" s="7"/>
      <c r="P8" s="7">
        <f>V28/L4</f>
        <v>0</v>
      </c>
      <c r="Q8" s="40" t="s">
        <v>53</v>
      </c>
      <c r="R8" s="7"/>
      <c r="S8" s="7"/>
      <c r="T8" s="7"/>
      <c r="U8" s="8"/>
    </row>
    <row r="9" spans="1:28" x14ac:dyDescent="0.2">
      <c r="L9" s="10"/>
      <c r="M9" s="11"/>
      <c r="N9" s="11"/>
      <c r="O9" s="11"/>
      <c r="P9" s="11">
        <f>P7/((L8*5)-(L8*1))*100</f>
        <v>0</v>
      </c>
      <c r="Q9" s="41" t="s">
        <v>54</v>
      </c>
      <c r="R9" s="11"/>
      <c r="S9" s="11"/>
      <c r="T9" s="11"/>
      <c r="U9" s="12"/>
    </row>
    <row r="10" spans="1:28" x14ac:dyDescent="0.2">
      <c r="A10" s="3"/>
      <c r="B10" s="84" t="s">
        <v>199</v>
      </c>
      <c r="C10" s="84"/>
      <c r="D10" s="84"/>
      <c r="E10" s="84"/>
      <c r="F10" s="84"/>
      <c r="G10" s="84"/>
      <c r="H10" s="84"/>
      <c r="I10" s="84"/>
      <c r="J10" s="84"/>
      <c r="K10" s="84"/>
      <c r="L10" s="84"/>
      <c r="M10" s="84"/>
      <c r="N10" s="84"/>
      <c r="O10" s="84"/>
      <c r="P10" s="84"/>
      <c r="Q10" s="84"/>
      <c r="R10" s="84"/>
      <c r="S10" s="84"/>
      <c r="T10" s="84"/>
      <c r="U10" s="84"/>
      <c r="W10" s="25" t="s">
        <v>69</v>
      </c>
      <c r="X10" s="35"/>
      <c r="Y10" s="63"/>
      <c r="Z10" s="4"/>
      <c r="AA10" s="4"/>
      <c r="AB10" s="5"/>
    </row>
    <row r="11" spans="1:28" x14ac:dyDescent="0.2">
      <c r="A11" s="89" t="s">
        <v>200</v>
      </c>
      <c r="B11" s="27">
        <v>1</v>
      </c>
      <c r="C11" s="27">
        <v>2</v>
      </c>
      <c r="D11" s="27">
        <v>3</v>
      </c>
      <c r="E11" s="27">
        <v>4</v>
      </c>
      <c r="F11" s="27">
        <v>5</v>
      </c>
      <c r="G11" s="27">
        <v>6</v>
      </c>
      <c r="H11" s="27">
        <v>7</v>
      </c>
      <c r="I11" s="27">
        <v>8</v>
      </c>
      <c r="J11" s="27">
        <v>9</v>
      </c>
      <c r="K11" s="27">
        <v>10</v>
      </c>
      <c r="L11" s="27">
        <v>11</v>
      </c>
      <c r="M11" s="27">
        <v>12</v>
      </c>
      <c r="N11" s="27">
        <v>13</v>
      </c>
      <c r="O11" s="27">
        <v>14</v>
      </c>
      <c r="P11" s="27">
        <v>15</v>
      </c>
      <c r="Q11" s="27">
        <v>16</v>
      </c>
      <c r="R11" s="27">
        <v>17</v>
      </c>
      <c r="S11" s="27">
        <v>18</v>
      </c>
      <c r="T11" s="27">
        <v>19</v>
      </c>
      <c r="U11" s="27">
        <v>20</v>
      </c>
      <c r="V11" s="90" t="s">
        <v>68</v>
      </c>
      <c r="W11" s="26" t="s">
        <v>33</v>
      </c>
      <c r="X11" s="9" t="s">
        <v>34</v>
      </c>
      <c r="Y11" s="34" t="s">
        <v>67</v>
      </c>
      <c r="Z11" s="7"/>
      <c r="AA11" s="7"/>
      <c r="AB11" s="8"/>
    </row>
    <row r="12" spans="1:28" x14ac:dyDescent="0.2">
      <c r="A12" s="27">
        <v>11</v>
      </c>
      <c r="B12" s="30"/>
      <c r="C12" s="30"/>
      <c r="D12" s="30"/>
      <c r="E12" s="30"/>
      <c r="F12" s="30"/>
      <c r="G12" s="30"/>
      <c r="H12" s="30"/>
      <c r="I12" s="30"/>
      <c r="J12" s="30"/>
      <c r="K12" s="30"/>
      <c r="L12" s="30"/>
      <c r="M12" s="30"/>
      <c r="N12" s="30"/>
      <c r="O12" s="30"/>
      <c r="P12" s="30"/>
      <c r="Q12" s="30"/>
      <c r="R12" s="30"/>
      <c r="S12" s="30"/>
      <c r="T12" s="30"/>
      <c r="U12" s="30"/>
      <c r="V12" s="30">
        <f t="shared" ref="V12:V29" si="0">SUM(B12:U12)</f>
        <v>0</v>
      </c>
      <c r="W12" s="36">
        <f>V12/L4*20</f>
        <v>0</v>
      </c>
      <c r="X12" s="37">
        <f t="shared" ref="X12:X21" si="1">100-(AB40*2)</f>
        <v>100</v>
      </c>
      <c r="Y12" s="68" t="s">
        <v>140</v>
      </c>
      <c r="Z12" s="64"/>
      <c r="AA12" s="7"/>
      <c r="AB12" s="8"/>
    </row>
    <row r="13" spans="1:28" x14ac:dyDescent="0.2">
      <c r="A13" s="27">
        <v>12</v>
      </c>
      <c r="B13" s="30"/>
      <c r="C13" s="30"/>
      <c r="D13" s="30"/>
      <c r="E13" s="30"/>
      <c r="F13" s="30"/>
      <c r="G13" s="30"/>
      <c r="H13" s="30"/>
      <c r="I13" s="30"/>
      <c r="J13" s="30"/>
      <c r="K13" s="30"/>
      <c r="L13" s="30"/>
      <c r="M13" s="30"/>
      <c r="N13" s="30"/>
      <c r="O13" s="30"/>
      <c r="P13" s="30"/>
      <c r="Q13" s="30"/>
      <c r="R13" s="30"/>
      <c r="S13" s="30"/>
      <c r="T13" s="30"/>
      <c r="U13" s="30"/>
      <c r="V13" s="30">
        <f t="shared" si="0"/>
        <v>0</v>
      </c>
      <c r="W13" s="36">
        <f>V13/L4*20</f>
        <v>0</v>
      </c>
      <c r="X13" s="37">
        <f t="shared" si="1"/>
        <v>100</v>
      </c>
      <c r="Y13" s="68" t="s">
        <v>141</v>
      </c>
      <c r="Z13" s="64"/>
      <c r="AA13" s="7"/>
      <c r="AB13" s="8"/>
    </row>
    <row r="14" spans="1:28" x14ac:dyDescent="0.2">
      <c r="A14" s="27">
        <v>13</v>
      </c>
      <c r="B14" s="30"/>
      <c r="C14" s="30"/>
      <c r="D14" s="30"/>
      <c r="E14" s="30"/>
      <c r="F14" s="30"/>
      <c r="G14" s="30"/>
      <c r="H14" s="30"/>
      <c r="I14" s="30"/>
      <c r="J14" s="30"/>
      <c r="K14" s="30"/>
      <c r="L14" s="30"/>
      <c r="M14" s="30"/>
      <c r="N14" s="30"/>
      <c r="O14" s="30"/>
      <c r="P14" s="30"/>
      <c r="Q14" s="30"/>
      <c r="R14" s="30"/>
      <c r="S14" s="30"/>
      <c r="T14" s="30"/>
      <c r="U14" s="30"/>
      <c r="V14" s="30">
        <f t="shared" si="0"/>
        <v>0</v>
      </c>
      <c r="W14" s="36">
        <f>V14/L4*20</f>
        <v>0</v>
      </c>
      <c r="X14" s="37">
        <f t="shared" si="1"/>
        <v>100</v>
      </c>
      <c r="Y14" s="68" t="s">
        <v>142</v>
      </c>
      <c r="Z14" s="64"/>
      <c r="AA14" s="7"/>
      <c r="AB14" s="8"/>
    </row>
    <row r="15" spans="1:28" x14ac:dyDescent="0.2">
      <c r="A15" s="27">
        <v>14</v>
      </c>
      <c r="B15" s="30"/>
      <c r="C15" s="30"/>
      <c r="D15" s="30"/>
      <c r="E15" s="30"/>
      <c r="F15" s="30"/>
      <c r="G15" s="30"/>
      <c r="H15" s="30"/>
      <c r="I15" s="30"/>
      <c r="J15" s="30"/>
      <c r="K15" s="30"/>
      <c r="L15" s="30"/>
      <c r="M15" s="30"/>
      <c r="N15" s="30"/>
      <c r="O15" s="30"/>
      <c r="P15" s="30"/>
      <c r="Q15" s="30"/>
      <c r="R15" s="30"/>
      <c r="S15" s="30"/>
      <c r="T15" s="30"/>
      <c r="U15" s="30"/>
      <c r="V15" s="30">
        <f t="shared" si="0"/>
        <v>0</v>
      </c>
      <c r="W15" s="36">
        <f>V15/L4*20</f>
        <v>0</v>
      </c>
      <c r="X15" s="37">
        <f t="shared" si="1"/>
        <v>100</v>
      </c>
      <c r="Y15" s="68" t="s">
        <v>143</v>
      </c>
      <c r="Z15" s="64"/>
      <c r="AA15" s="7"/>
      <c r="AB15" s="8"/>
    </row>
    <row r="16" spans="1:28" x14ac:dyDescent="0.2">
      <c r="A16" s="27">
        <v>15</v>
      </c>
      <c r="B16" s="30"/>
      <c r="C16" s="30"/>
      <c r="D16" s="30"/>
      <c r="E16" s="30"/>
      <c r="F16" s="30"/>
      <c r="G16" s="30"/>
      <c r="H16" s="30"/>
      <c r="I16" s="30"/>
      <c r="J16" s="30"/>
      <c r="K16" s="30"/>
      <c r="L16" s="30"/>
      <c r="M16" s="30"/>
      <c r="N16" s="30"/>
      <c r="O16" s="30"/>
      <c r="P16" s="30"/>
      <c r="Q16" s="30"/>
      <c r="R16" s="30"/>
      <c r="S16" s="30"/>
      <c r="T16" s="30"/>
      <c r="U16" s="30"/>
      <c r="V16" s="30">
        <f t="shared" si="0"/>
        <v>0</v>
      </c>
      <c r="W16" s="36">
        <f>V16/L4*20</f>
        <v>0</v>
      </c>
      <c r="X16" s="37">
        <f t="shared" si="1"/>
        <v>100</v>
      </c>
      <c r="Y16" s="68" t="s">
        <v>144</v>
      </c>
      <c r="Z16" s="64"/>
      <c r="AA16" s="7"/>
      <c r="AB16" s="8"/>
    </row>
    <row r="17" spans="1:28" x14ac:dyDescent="0.2">
      <c r="A17" s="27">
        <v>16</v>
      </c>
      <c r="B17" s="30"/>
      <c r="C17" s="30"/>
      <c r="D17" s="30"/>
      <c r="E17" s="30"/>
      <c r="F17" s="30"/>
      <c r="G17" s="30"/>
      <c r="H17" s="30"/>
      <c r="I17" s="30"/>
      <c r="J17" s="30"/>
      <c r="K17" s="30"/>
      <c r="L17" s="30"/>
      <c r="M17" s="30"/>
      <c r="N17" s="30"/>
      <c r="O17" s="30"/>
      <c r="P17" s="30"/>
      <c r="Q17" s="30"/>
      <c r="R17" s="30"/>
      <c r="S17" s="30"/>
      <c r="T17" s="30"/>
      <c r="U17" s="30"/>
      <c r="V17" s="30">
        <f t="shared" si="0"/>
        <v>0</v>
      </c>
      <c r="W17" s="36">
        <f>V17/L4*20</f>
        <v>0</v>
      </c>
      <c r="X17" s="37">
        <f t="shared" si="1"/>
        <v>100</v>
      </c>
      <c r="Y17" s="68" t="s">
        <v>145</v>
      </c>
      <c r="Z17" s="64"/>
      <c r="AA17" s="7"/>
      <c r="AB17" s="8"/>
    </row>
    <row r="18" spans="1:28" x14ac:dyDescent="0.2">
      <c r="A18" s="27">
        <v>17</v>
      </c>
      <c r="B18" s="30"/>
      <c r="C18" s="30"/>
      <c r="D18" s="30"/>
      <c r="E18" s="30"/>
      <c r="F18" s="30"/>
      <c r="G18" s="30"/>
      <c r="H18" s="30"/>
      <c r="I18" s="30"/>
      <c r="J18" s="30"/>
      <c r="K18" s="30"/>
      <c r="L18" s="30"/>
      <c r="M18" s="30"/>
      <c r="N18" s="30"/>
      <c r="O18" s="30"/>
      <c r="P18" s="30"/>
      <c r="Q18" s="30"/>
      <c r="R18" s="30"/>
      <c r="S18" s="30"/>
      <c r="T18" s="30"/>
      <c r="U18" s="30"/>
      <c r="V18" s="30">
        <f t="shared" si="0"/>
        <v>0</v>
      </c>
      <c r="W18" s="36">
        <f>V18/L4*20</f>
        <v>0</v>
      </c>
      <c r="X18" s="37">
        <f t="shared" si="1"/>
        <v>100</v>
      </c>
      <c r="Y18" s="68" t="s">
        <v>146</v>
      </c>
      <c r="Z18" s="64"/>
      <c r="AA18" s="7"/>
      <c r="AB18" s="8"/>
    </row>
    <row r="19" spans="1:28" x14ac:dyDescent="0.2">
      <c r="A19" s="27">
        <v>18</v>
      </c>
      <c r="B19" s="30"/>
      <c r="C19" s="30"/>
      <c r="D19" s="30"/>
      <c r="E19" s="30"/>
      <c r="F19" s="30"/>
      <c r="G19" s="30"/>
      <c r="H19" s="30"/>
      <c r="I19" s="30"/>
      <c r="J19" s="30"/>
      <c r="K19" s="30"/>
      <c r="L19" s="30"/>
      <c r="M19" s="30"/>
      <c r="N19" s="30"/>
      <c r="O19" s="30"/>
      <c r="P19" s="30"/>
      <c r="Q19" s="30"/>
      <c r="R19" s="30"/>
      <c r="S19" s="30"/>
      <c r="T19" s="30"/>
      <c r="U19" s="30"/>
      <c r="V19" s="30">
        <f t="shared" si="0"/>
        <v>0</v>
      </c>
      <c r="W19" s="36">
        <f>V19/L4*20</f>
        <v>0</v>
      </c>
      <c r="X19" s="37">
        <f t="shared" si="1"/>
        <v>100</v>
      </c>
      <c r="Y19" s="68" t="s">
        <v>147</v>
      </c>
      <c r="Z19" s="64"/>
      <c r="AA19" s="7"/>
      <c r="AB19" s="8"/>
    </row>
    <row r="20" spans="1:28" x14ac:dyDescent="0.2">
      <c r="A20" s="27">
        <v>19</v>
      </c>
      <c r="B20" s="30"/>
      <c r="C20" s="30"/>
      <c r="D20" s="30"/>
      <c r="E20" s="30"/>
      <c r="F20" s="30"/>
      <c r="G20" s="30"/>
      <c r="H20" s="30"/>
      <c r="I20" s="30"/>
      <c r="J20" s="30"/>
      <c r="K20" s="30"/>
      <c r="L20" s="30"/>
      <c r="M20" s="30"/>
      <c r="N20" s="30"/>
      <c r="O20" s="30"/>
      <c r="P20" s="30"/>
      <c r="Q20" s="30"/>
      <c r="R20" s="30"/>
      <c r="S20" s="30"/>
      <c r="T20" s="30"/>
      <c r="U20" s="30"/>
      <c r="V20" s="30">
        <f t="shared" si="0"/>
        <v>0</v>
      </c>
      <c r="W20" s="36">
        <f>V20/L4*20</f>
        <v>0</v>
      </c>
      <c r="X20" s="37">
        <f t="shared" si="1"/>
        <v>100</v>
      </c>
      <c r="Y20" s="68" t="s">
        <v>148</v>
      </c>
      <c r="Z20" s="64"/>
      <c r="AA20" s="7"/>
      <c r="AB20" s="8"/>
    </row>
    <row r="21" spans="1:28" x14ac:dyDescent="0.2">
      <c r="A21" s="27">
        <v>20</v>
      </c>
      <c r="B21" s="30"/>
      <c r="C21" s="30"/>
      <c r="D21" s="30"/>
      <c r="E21" s="30"/>
      <c r="F21" s="30"/>
      <c r="G21" s="30"/>
      <c r="H21" s="30"/>
      <c r="I21" s="30"/>
      <c r="J21" s="30"/>
      <c r="K21" s="30"/>
      <c r="L21" s="30"/>
      <c r="M21" s="30"/>
      <c r="N21" s="30"/>
      <c r="O21" s="30"/>
      <c r="P21" s="30"/>
      <c r="Q21" s="30"/>
      <c r="R21" s="30"/>
      <c r="S21" s="30"/>
      <c r="T21" s="30"/>
      <c r="U21" s="30"/>
      <c r="V21" s="30">
        <f t="shared" si="0"/>
        <v>0</v>
      </c>
      <c r="W21" s="36">
        <f>V21/L4*20</f>
        <v>0</v>
      </c>
      <c r="X21" s="37">
        <f t="shared" si="1"/>
        <v>100</v>
      </c>
      <c r="Y21" s="61" t="s">
        <v>149</v>
      </c>
      <c r="Z21" s="64"/>
      <c r="AA21" s="7"/>
      <c r="AB21" s="8"/>
    </row>
    <row r="22" spans="1:28" x14ac:dyDescent="0.2">
      <c r="A22" s="27"/>
      <c r="B22" s="30"/>
      <c r="C22" s="30"/>
      <c r="D22" s="30"/>
      <c r="E22" s="30"/>
      <c r="F22" s="30"/>
      <c r="G22" s="30"/>
      <c r="H22" s="30"/>
      <c r="I22" s="30"/>
      <c r="J22" s="30"/>
      <c r="K22" s="30"/>
      <c r="L22" s="30"/>
      <c r="M22" s="30"/>
      <c r="N22" s="30"/>
      <c r="O22" s="30"/>
      <c r="P22" s="30"/>
      <c r="Q22" s="30"/>
      <c r="R22" s="30"/>
      <c r="S22" s="30"/>
      <c r="T22" s="30"/>
      <c r="U22" s="30"/>
      <c r="V22" s="30"/>
      <c r="W22" s="36"/>
      <c r="X22" s="37"/>
      <c r="Y22" s="66"/>
      <c r="Z22" s="7"/>
      <c r="AA22" s="7"/>
      <c r="AB22" s="8"/>
    </row>
    <row r="23" spans="1:28" x14ac:dyDescent="0.2">
      <c r="A23" s="27"/>
      <c r="B23" s="30"/>
      <c r="C23" s="30"/>
      <c r="D23" s="30"/>
      <c r="E23" s="30"/>
      <c r="F23" s="30"/>
      <c r="G23" s="30"/>
      <c r="H23" s="30"/>
      <c r="I23" s="30"/>
      <c r="J23" s="30"/>
      <c r="K23" s="30"/>
      <c r="L23" s="30"/>
      <c r="M23" s="30"/>
      <c r="N23" s="30"/>
      <c r="O23" s="30"/>
      <c r="P23" s="30"/>
      <c r="Q23" s="30"/>
      <c r="R23" s="30"/>
      <c r="S23" s="30"/>
      <c r="T23" s="30"/>
      <c r="U23" s="30"/>
      <c r="V23" s="30"/>
      <c r="W23" s="36"/>
      <c r="X23" s="37"/>
      <c r="Y23" s="66"/>
      <c r="Z23" s="7"/>
      <c r="AA23" s="7"/>
      <c r="AB23" s="8"/>
    </row>
    <row r="24" spans="1:28" x14ac:dyDescent="0.2">
      <c r="A24" s="27"/>
      <c r="B24" s="30"/>
      <c r="C24" s="30"/>
      <c r="D24" s="30"/>
      <c r="E24" s="30"/>
      <c r="F24" s="30"/>
      <c r="G24" s="30"/>
      <c r="H24" s="30"/>
      <c r="I24" s="30"/>
      <c r="J24" s="30"/>
      <c r="K24" s="30"/>
      <c r="L24" s="30"/>
      <c r="M24" s="30"/>
      <c r="N24" s="30"/>
      <c r="O24" s="30"/>
      <c r="P24" s="30"/>
      <c r="Q24" s="30"/>
      <c r="R24" s="30"/>
      <c r="S24" s="30"/>
      <c r="T24" s="30"/>
      <c r="U24" s="30"/>
      <c r="V24" s="30"/>
      <c r="W24" s="36"/>
      <c r="X24" s="37"/>
      <c r="Y24" s="66"/>
      <c r="Z24" s="7"/>
      <c r="AA24" s="7"/>
      <c r="AB24" s="8"/>
    </row>
    <row r="25" spans="1:28" x14ac:dyDescent="0.2">
      <c r="A25" s="27"/>
      <c r="B25" s="30"/>
      <c r="C25" s="30"/>
      <c r="D25" s="30"/>
      <c r="E25" s="30"/>
      <c r="F25" s="30"/>
      <c r="G25" s="30"/>
      <c r="H25" s="30"/>
      <c r="I25" s="30"/>
      <c r="J25" s="30"/>
      <c r="K25" s="30"/>
      <c r="L25" s="30"/>
      <c r="M25" s="30"/>
      <c r="N25" s="30"/>
      <c r="O25" s="30"/>
      <c r="P25" s="30"/>
      <c r="Q25" s="30"/>
      <c r="R25" s="30"/>
      <c r="S25" s="30"/>
      <c r="T25" s="30"/>
      <c r="U25" s="30"/>
      <c r="V25" s="30"/>
      <c r="W25" s="36"/>
      <c r="X25" s="37"/>
      <c r="Y25" s="66"/>
      <c r="Z25" s="7"/>
      <c r="AA25" s="7"/>
      <c r="AB25" s="8"/>
    </row>
    <row r="26" spans="1:28" x14ac:dyDescent="0.2">
      <c r="A26" s="27"/>
      <c r="B26" s="30"/>
      <c r="C26" s="30"/>
      <c r="D26" s="30"/>
      <c r="E26" s="30"/>
      <c r="F26" s="30"/>
      <c r="G26" s="30"/>
      <c r="H26" s="30"/>
      <c r="I26" s="30"/>
      <c r="J26" s="30"/>
      <c r="K26" s="30"/>
      <c r="L26" s="30"/>
      <c r="M26" s="30"/>
      <c r="N26" s="30"/>
      <c r="O26" s="30"/>
      <c r="P26" s="30"/>
      <c r="Q26" s="30"/>
      <c r="R26" s="30"/>
      <c r="S26" s="30"/>
      <c r="T26" s="30"/>
      <c r="U26" s="30"/>
      <c r="V26" s="30"/>
      <c r="W26" s="36"/>
      <c r="X26" s="37"/>
      <c r="Y26" s="66"/>
      <c r="Z26" s="7"/>
      <c r="AA26" s="7"/>
      <c r="AB26" s="8"/>
    </row>
    <row r="27" spans="1:28" x14ac:dyDescent="0.2">
      <c r="A27" s="27"/>
      <c r="B27" s="30"/>
      <c r="C27" s="30"/>
      <c r="D27" s="30"/>
      <c r="E27" s="30"/>
      <c r="F27" s="30"/>
      <c r="G27" s="30"/>
      <c r="H27" s="30"/>
      <c r="I27" s="30"/>
      <c r="J27" s="30"/>
      <c r="K27" s="30"/>
      <c r="L27" s="30"/>
      <c r="M27" s="30"/>
      <c r="N27" s="30"/>
      <c r="O27" s="30"/>
      <c r="P27" s="30"/>
      <c r="Q27" s="30"/>
      <c r="R27" s="30"/>
      <c r="S27" s="30"/>
      <c r="T27" s="30"/>
      <c r="U27" s="30"/>
      <c r="V27" s="30"/>
      <c r="W27" s="38"/>
      <c r="X27" s="39"/>
      <c r="Y27" s="67"/>
      <c r="Z27" s="11"/>
      <c r="AA27" s="11"/>
      <c r="AB27" s="12"/>
    </row>
    <row r="28" spans="1:28" x14ac:dyDescent="0.2">
      <c r="A28" s="27" t="s">
        <v>127</v>
      </c>
      <c r="B28" s="30">
        <f t="shared" ref="B28:U28" si="2">SUM(B12:B27)</f>
        <v>0</v>
      </c>
      <c r="C28" s="30">
        <f t="shared" si="2"/>
        <v>0</v>
      </c>
      <c r="D28" s="30">
        <f t="shared" si="2"/>
        <v>0</v>
      </c>
      <c r="E28" s="30">
        <f t="shared" si="2"/>
        <v>0</v>
      </c>
      <c r="F28" s="30">
        <f t="shared" si="2"/>
        <v>0</v>
      </c>
      <c r="G28" s="30">
        <f t="shared" si="2"/>
        <v>0</v>
      </c>
      <c r="H28" s="30">
        <f t="shared" si="2"/>
        <v>0</v>
      </c>
      <c r="I28" s="30">
        <f t="shared" si="2"/>
        <v>0</v>
      </c>
      <c r="J28" s="30">
        <f t="shared" si="2"/>
        <v>0</v>
      </c>
      <c r="K28" s="30">
        <f t="shared" si="2"/>
        <v>0</v>
      </c>
      <c r="L28" s="30">
        <f t="shared" si="2"/>
        <v>0</v>
      </c>
      <c r="M28" s="30">
        <f t="shared" si="2"/>
        <v>0</v>
      </c>
      <c r="N28" s="30">
        <f t="shared" si="2"/>
        <v>0</v>
      </c>
      <c r="O28" s="30">
        <f t="shared" si="2"/>
        <v>0</v>
      </c>
      <c r="P28" s="30">
        <f t="shared" si="2"/>
        <v>0</v>
      </c>
      <c r="Q28" s="30">
        <f t="shared" si="2"/>
        <v>0</v>
      </c>
      <c r="R28" s="30">
        <f t="shared" si="2"/>
        <v>0</v>
      </c>
      <c r="S28" s="30">
        <f t="shared" si="2"/>
        <v>0</v>
      </c>
      <c r="T28" s="30">
        <f t="shared" si="2"/>
        <v>0</v>
      </c>
      <c r="U28" s="30">
        <f t="shared" si="2"/>
        <v>0</v>
      </c>
      <c r="V28" s="30">
        <f t="shared" si="0"/>
        <v>0</v>
      </c>
      <c r="W28" s="28"/>
      <c r="X28" s="7"/>
    </row>
    <row r="29" spans="1:28" x14ac:dyDescent="0.2">
      <c r="A29" s="27" t="s">
        <v>128</v>
      </c>
      <c r="B29" s="31">
        <f t="shared" ref="B29:U29" si="3">B28*B28</f>
        <v>0</v>
      </c>
      <c r="C29" s="31">
        <f t="shared" si="3"/>
        <v>0</v>
      </c>
      <c r="D29" s="31">
        <f t="shared" si="3"/>
        <v>0</v>
      </c>
      <c r="E29" s="31">
        <f t="shared" si="3"/>
        <v>0</v>
      </c>
      <c r="F29" s="31">
        <f t="shared" si="3"/>
        <v>0</v>
      </c>
      <c r="G29" s="31">
        <f t="shared" si="3"/>
        <v>0</v>
      </c>
      <c r="H29" s="31">
        <f t="shared" si="3"/>
        <v>0</v>
      </c>
      <c r="I29" s="31">
        <f t="shared" si="3"/>
        <v>0</v>
      </c>
      <c r="J29" s="31">
        <f t="shared" si="3"/>
        <v>0</v>
      </c>
      <c r="K29" s="31">
        <f t="shared" si="3"/>
        <v>0</v>
      </c>
      <c r="L29" s="31">
        <f t="shared" si="3"/>
        <v>0</v>
      </c>
      <c r="M29" s="31">
        <f t="shared" si="3"/>
        <v>0</v>
      </c>
      <c r="N29" s="31">
        <f t="shared" si="3"/>
        <v>0</v>
      </c>
      <c r="O29" s="31">
        <f t="shared" si="3"/>
        <v>0</v>
      </c>
      <c r="P29" s="31">
        <f t="shared" si="3"/>
        <v>0</v>
      </c>
      <c r="Q29" s="31">
        <f t="shared" si="3"/>
        <v>0</v>
      </c>
      <c r="R29" s="31">
        <f t="shared" si="3"/>
        <v>0</v>
      </c>
      <c r="S29" s="31">
        <f t="shared" si="3"/>
        <v>0</v>
      </c>
      <c r="T29" s="31">
        <f t="shared" si="3"/>
        <v>0</v>
      </c>
      <c r="U29" s="31">
        <f t="shared" si="3"/>
        <v>0</v>
      </c>
      <c r="V29" s="31">
        <f t="shared" si="0"/>
        <v>0</v>
      </c>
      <c r="W29" t="s">
        <v>12</v>
      </c>
      <c r="X29" s="2"/>
    </row>
    <row r="38" spans="1:28" x14ac:dyDescent="0.2">
      <c r="A38" s="2" t="s">
        <v>0</v>
      </c>
    </row>
    <row r="39" spans="1:28" x14ac:dyDescent="0.2">
      <c r="A39" s="27" t="s">
        <v>1</v>
      </c>
      <c r="B39" s="30" t="s">
        <v>112</v>
      </c>
      <c r="C39" s="30" t="s">
        <v>113</v>
      </c>
      <c r="D39" s="30" t="s">
        <v>114</v>
      </c>
      <c r="E39" s="30" t="s">
        <v>115</v>
      </c>
      <c r="F39" s="30" t="s">
        <v>116</v>
      </c>
      <c r="G39" s="30" t="s">
        <v>117</v>
      </c>
      <c r="H39" s="30" t="s">
        <v>118</v>
      </c>
      <c r="I39" s="30" t="s">
        <v>119</v>
      </c>
      <c r="J39" s="30" t="s">
        <v>120</v>
      </c>
      <c r="K39" s="30" t="s">
        <v>121</v>
      </c>
      <c r="L39" s="30" t="s">
        <v>122</v>
      </c>
      <c r="M39" s="30" t="s">
        <v>123</v>
      </c>
      <c r="N39" s="30" t="s">
        <v>124</v>
      </c>
      <c r="O39" s="30" t="s">
        <v>125</v>
      </c>
      <c r="P39" s="30" t="s">
        <v>126</v>
      </c>
      <c r="Q39" s="30" t="s">
        <v>15</v>
      </c>
      <c r="R39" s="30" t="s">
        <v>17</v>
      </c>
      <c r="S39" s="30" t="s">
        <v>18</v>
      </c>
      <c r="T39" s="30" t="s">
        <v>19</v>
      </c>
      <c r="U39" s="30" t="s">
        <v>20</v>
      </c>
      <c r="V39" t="s">
        <v>24</v>
      </c>
      <c r="W39" t="s">
        <v>13</v>
      </c>
      <c r="X39" t="s">
        <v>14</v>
      </c>
      <c r="Y39" s="62" t="s">
        <v>124</v>
      </c>
      <c r="Z39" t="s">
        <v>15</v>
      </c>
      <c r="AA39" t="s">
        <v>21</v>
      </c>
      <c r="AB39" t="s">
        <v>7</v>
      </c>
    </row>
    <row r="40" spans="1:28" x14ac:dyDescent="0.2">
      <c r="A40" s="27">
        <f>A12</f>
        <v>11</v>
      </c>
      <c r="B40" s="30">
        <f t="shared" ref="B40:U40" si="4">B12*B12</f>
        <v>0</v>
      </c>
      <c r="C40" s="30">
        <f t="shared" si="4"/>
        <v>0</v>
      </c>
      <c r="D40" s="30">
        <f t="shared" si="4"/>
        <v>0</v>
      </c>
      <c r="E40" s="30">
        <f t="shared" si="4"/>
        <v>0</v>
      </c>
      <c r="F40" s="30">
        <f t="shared" si="4"/>
        <v>0</v>
      </c>
      <c r="G40" s="30">
        <f t="shared" si="4"/>
        <v>0</v>
      </c>
      <c r="H40" s="30">
        <f t="shared" si="4"/>
        <v>0</v>
      </c>
      <c r="I40" s="30">
        <f t="shared" si="4"/>
        <v>0</v>
      </c>
      <c r="J40" s="30">
        <f t="shared" si="4"/>
        <v>0</v>
      </c>
      <c r="K40" s="30">
        <f t="shared" si="4"/>
        <v>0</v>
      </c>
      <c r="L40" s="30">
        <f t="shared" si="4"/>
        <v>0</v>
      </c>
      <c r="M40" s="30">
        <f t="shared" si="4"/>
        <v>0</v>
      </c>
      <c r="N40" s="30">
        <f t="shared" si="4"/>
        <v>0</v>
      </c>
      <c r="O40" s="30">
        <f t="shared" si="4"/>
        <v>0</v>
      </c>
      <c r="P40" s="30">
        <f t="shared" si="4"/>
        <v>0</v>
      </c>
      <c r="Q40" s="30">
        <f t="shared" si="4"/>
        <v>0</v>
      </c>
      <c r="R40" s="30">
        <f t="shared" si="4"/>
        <v>0</v>
      </c>
      <c r="S40" s="30">
        <f t="shared" si="4"/>
        <v>0</v>
      </c>
      <c r="T40" s="30">
        <f t="shared" si="4"/>
        <v>0</v>
      </c>
      <c r="U40" s="30">
        <f t="shared" si="4"/>
        <v>0</v>
      </c>
      <c r="V40">
        <f t="shared" ref="V40:V49" si="5">SUM(B40:U40)</f>
        <v>0</v>
      </c>
      <c r="W40">
        <f t="shared" ref="W40:W49" si="6">V12*V12</f>
        <v>0</v>
      </c>
      <c r="X40">
        <f>L4*(L4-1)</f>
        <v>380</v>
      </c>
      <c r="Y40" s="62">
        <f>L4*V40-W40</f>
        <v>0</v>
      </c>
      <c r="Z40">
        <f t="shared" ref="Z40:Z49" si="7">Y40/X40</f>
        <v>0</v>
      </c>
      <c r="AA40">
        <f t="shared" ref="AA40:AA49" si="8">SQRT(Z40)</f>
        <v>0</v>
      </c>
      <c r="AB40">
        <f t="shared" ref="AB40:AB49" si="9">AA40/4*100</f>
        <v>0</v>
      </c>
    </row>
    <row r="41" spans="1:28" x14ac:dyDescent="0.2">
      <c r="A41" s="27">
        <f t="shared" ref="A41:A49" si="10">A13</f>
        <v>12</v>
      </c>
      <c r="B41" s="30">
        <f t="shared" ref="B41:U41" si="11">B13*B13</f>
        <v>0</v>
      </c>
      <c r="C41" s="30">
        <f t="shared" si="11"/>
        <v>0</v>
      </c>
      <c r="D41" s="30">
        <f t="shared" si="11"/>
        <v>0</v>
      </c>
      <c r="E41" s="30">
        <f t="shared" si="11"/>
        <v>0</v>
      </c>
      <c r="F41" s="30">
        <f t="shared" si="11"/>
        <v>0</v>
      </c>
      <c r="G41" s="30">
        <f t="shared" si="11"/>
        <v>0</v>
      </c>
      <c r="H41" s="30">
        <f t="shared" si="11"/>
        <v>0</v>
      </c>
      <c r="I41" s="30">
        <f t="shared" si="11"/>
        <v>0</v>
      </c>
      <c r="J41" s="30">
        <f t="shared" si="11"/>
        <v>0</v>
      </c>
      <c r="K41" s="30">
        <f t="shared" si="11"/>
        <v>0</v>
      </c>
      <c r="L41" s="30">
        <f t="shared" si="11"/>
        <v>0</v>
      </c>
      <c r="M41" s="30">
        <f t="shared" si="11"/>
        <v>0</v>
      </c>
      <c r="N41" s="30">
        <f t="shared" si="11"/>
        <v>0</v>
      </c>
      <c r="O41" s="30">
        <f t="shared" si="11"/>
        <v>0</v>
      </c>
      <c r="P41" s="30">
        <f t="shared" si="11"/>
        <v>0</v>
      </c>
      <c r="Q41" s="30">
        <f t="shared" si="11"/>
        <v>0</v>
      </c>
      <c r="R41" s="30">
        <f t="shared" si="11"/>
        <v>0</v>
      </c>
      <c r="S41" s="30">
        <f t="shared" si="11"/>
        <v>0</v>
      </c>
      <c r="T41" s="30">
        <f t="shared" si="11"/>
        <v>0</v>
      </c>
      <c r="U41" s="30">
        <f t="shared" si="11"/>
        <v>0</v>
      </c>
      <c r="V41">
        <f t="shared" si="5"/>
        <v>0</v>
      </c>
      <c r="W41">
        <f t="shared" si="6"/>
        <v>0</v>
      </c>
      <c r="X41">
        <f>L4*(L4-1)</f>
        <v>380</v>
      </c>
      <c r="Y41" s="62">
        <f>L4*V41-W41</f>
        <v>0</v>
      </c>
      <c r="Z41">
        <f t="shared" si="7"/>
        <v>0</v>
      </c>
      <c r="AA41">
        <f t="shared" si="8"/>
        <v>0</v>
      </c>
      <c r="AB41">
        <f t="shared" si="9"/>
        <v>0</v>
      </c>
    </row>
    <row r="42" spans="1:28" x14ac:dyDescent="0.2">
      <c r="A42" s="27">
        <f t="shared" si="10"/>
        <v>13</v>
      </c>
      <c r="B42" s="30">
        <f t="shared" ref="B42:U42" si="12">B14*B14</f>
        <v>0</v>
      </c>
      <c r="C42" s="30">
        <f t="shared" si="12"/>
        <v>0</v>
      </c>
      <c r="D42" s="30">
        <f t="shared" si="12"/>
        <v>0</v>
      </c>
      <c r="E42" s="30">
        <f t="shared" si="12"/>
        <v>0</v>
      </c>
      <c r="F42" s="30">
        <f t="shared" si="12"/>
        <v>0</v>
      </c>
      <c r="G42" s="30">
        <f t="shared" si="12"/>
        <v>0</v>
      </c>
      <c r="H42" s="30">
        <f t="shared" si="12"/>
        <v>0</v>
      </c>
      <c r="I42" s="30">
        <f t="shared" si="12"/>
        <v>0</v>
      </c>
      <c r="J42" s="30">
        <f t="shared" si="12"/>
        <v>0</v>
      </c>
      <c r="K42" s="30">
        <f t="shared" si="12"/>
        <v>0</v>
      </c>
      <c r="L42" s="30">
        <f t="shared" si="12"/>
        <v>0</v>
      </c>
      <c r="M42" s="30">
        <f t="shared" si="12"/>
        <v>0</v>
      </c>
      <c r="N42" s="30">
        <f t="shared" si="12"/>
        <v>0</v>
      </c>
      <c r="O42" s="30">
        <f t="shared" si="12"/>
        <v>0</v>
      </c>
      <c r="P42" s="30">
        <f t="shared" si="12"/>
        <v>0</v>
      </c>
      <c r="Q42" s="30">
        <f t="shared" si="12"/>
        <v>0</v>
      </c>
      <c r="R42" s="30">
        <f t="shared" si="12"/>
        <v>0</v>
      </c>
      <c r="S42" s="30">
        <f t="shared" si="12"/>
        <v>0</v>
      </c>
      <c r="T42" s="30">
        <f t="shared" si="12"/>
        <v>0</v>
      </c>
      <c r="U42" s="30">
        <f t="shared" si="12"/>
        <v>0</v>
      </c>
      <c r="V42">
        <f t="shared" si="5"/>
        <v>0</v>
      </c>
      <c r="W42">
        <f t="shared" si="6"/>
        <v>0</v>
      </c>
      <c r="X42">
        <f>L4*(L4-1)</f>
        <v>380</v>
      </c>
      <c r="Y42" s="62">
        <f>L4*V42-W42</f>
        <v>0</v>
      </c>
      <c r="Z42">
        <f t="shared" si="7"/>
        <v>0</v>
      </c>
      <c r="AA42">
        <f t="shared" si="8"/>
        <v>0</v>
      </c>
      <c r="AB42">
        <f t="shared" si="9"/>
        <v>0</v>
      </c>
    </row>
    <row r="43" spans="1:28" x14ac:dyDescent="0.2">
      <c r="A43" s="27">
        <f t="shared" si="10"/>
        <v>14</v>
      </c>
      <c r="B43" s="30">
        <f t="shared" ref="B43:U43" si="13">B15*B15</f>
        <v>0</v>
      </c>
      <c r="C43" s="30">
        <f t="shared" si="13"/>
        <v>0</v>
      </c>
      <c r="D43" s="30">
        <f t="shared" si="13"/>
        <v>0</v>
      </c>
      <c r="E43" s="30">
        <f t="shared" si="13"/>
        <v>0</v>
      </c>
      <c r="F43" s="30">
        <f t="shared" si="13"/>
        <v>0</v>
      </c>
      <c r="G43" s="30">
        <f t="shared" si="13"/>
        <v>0</v>
      </c>
      <c r="H43" s="30">
        <f t="shared" si="13"/>
        <v>0</v>
      </c>
      <c r="I43" s="30">
        <f t="shared" si="13"/>
        <v>0</v>
      </c>
      <c r="J43" s="30">
        <f t="shared" si="13"/>
        <v>0</v>
      </c>
      <c r="K43" s="30">
        <f t="shared" si="13"/>
        <v>0</v>
      </c>
      <c r="L43" s="30">
        <f t="shared" si="13"/>
        <v>0</v>
      </c>
      <c r="M43" s="30">
        <f t="shared" si="13"/>
        <v>0</v>
      </c>
      <c r="N43" s="30">
        <f t="shared" si="13"/>
        <v>0</v>
      </c>
      <c r="O43" s="30">
        <f t="shared" si="13"/>
        <v>0</v>
      </c>
      <c r="P43" s="30">
        <f t="shared" si="13"/>
        <v>0</v>
      </c>
      <c r="Q43" s="30">
        <f t="shared" si="13"/>
        <v>0</v>
      </c>
      <c r="R43" s="30">
        <f t="shared" si="13"/>
        <v>0</v>
      </c>
      <c r="S43" s="30">
        <f t="shared" si="13"/>
        <v>0</v>
      </c>
      <c r="T43" s="30">
        <f t="shared" si="13"/>
        <v>0</v>
      </c>
      <c r="U43" s="30">
        <f t="shared" si="13"/>
        <v>0</v>
      </c>
      <c r="V43">
        <f t="shared" si="5"/>
        <v>0</v>
      </c>
      <c r="W43">
        <f t="shared" si="6"/>
        <v>0</v>
      </c>
      <c r="X43">
        <f>L4*(L4-1)</f>
        <v>380</v>
      </c>
      <c r="Y43" s="62">
        <f>L4*V43-W43</f>
        <v>0</v>
      </c>
      <c r="Z43">
        <f t="shared" si="7"/>
        <v>0</v>
      </c>
      <c r="AA43">
        <f t="shared" si="8"/>
        <v>0</v>
      </c>
      <c r="AB43">
        <f t="shared" si="9"/>
        <v>0</v>
      </c>
    </row>
    <row r="44" spans="1:28" x14ac:dyDescent="0.2">
      <c r="A44" s="27">
        <f t="shared" si="10"/>
        <v>15</v>
      </c>
      <c r="B44" s="30">
        <f t="shared" ref="B44:U44" si="14">B16*B16</f>
        <v>0</v>
      </c>
      <c r="C44" s="30">
        <f t="shared" si="14"/>
        <v>0</v>
      </c>
      <c r="D44" s="30">
        <f t="shared" si="14"/>
        <v>0</v>
      </c>
      <c r="E44" s="30">
        <f t="shared" si="14"/>
        <v>0</v>
      </c>
      <c r="F44" s="30">
        <f t="shared" si="14"/>
        <v>0</v>
      </c>
      <c r="G44" s="30">
        <f t="shared" si="14"/>
        <v>0</v>
      </c>
      <c r="H44" s="30">
        <f t="shared" si="14"/>
        <v>0</v>
      </c>
      <c r="I44" s="30">
        <f t="shared" si="14"/>
        <v>0</v>
      </c>
      <c r="J44" s="30">
        <f t="shared" si="14"/>
        <v>0</v>
      </c>
      <c r="K44" s="30">
        <f t="shared" si="14"/>
        <v>0</v>
      </c>
      <c r="L44" s="30">
        <f t="shared" si="14"/>
        <v>0</v>
      </c>
      <c r="M44" s="30">
        <f t="shared" si="14"/>
        <v>0</v>
      </c>
      <c r="N44" s="30">
        <f t="shared" si="14"/>
        <v>0</v>
      </c>
      <c r="O44" s="30">
        <f t="shared" si="14"/>
        <v>0</v>
      </c>
      <c r="P44" s="30">
        <f t="shared" si="14"/>
        <v>0</v>
      </c>
      <c r="Q44" s="30">
        <f t="shared" si="14"/>
        <v>0</v>
      </c>
      <c r="R44" s="30">
        <f t="shared" si="14"/>
        <v>0</v>
      </c>
      <c r="S44" s="30">
        <f t="shared" si="14"/>
        <v>0</v>
      </c>
      <c r="T44" s="30">
        <f t="shared" si="14"/>
        <v>0</v>
      </c>
      <c r="U44" s="30">
        <f t="shared" si="14"/>
        <v>0</v>
      </c>
      <c r="V44">
        <f t="shared" si="5"/>
        <v>0</v>
      </c>
      <c r="W44">
        <f t="shared" si="6"/>
        <v>0</v>
      </c>
      <c r="X44">
        <f>L4*(L4-1)</f>
        <v>380</v>
      </c>
      <c r="Y44" s="62">
        <f>L4*V44-W44</f>
        <v>0</v>
      </c>
      <c r="Z44">
        <f t="shared" si="7"/>
        <v>0</v>
      </c>
      <c r="AA44">
        <f t="shared" si="8"/>
        <v>0</v>
      </c>
      <c r="AB44">
        <f t="shared" si="9"/>
        <v>0</v>
      </c>
    </row>
    <row r="45" spans="1:28" x14ac:dyDescent="0.2">
      <c r="A45" s="27">
        <f t="shared" si="10"/>
        <v>16</v>
      </c>
      <c r="B45" s="30">
        <f t="shared" ref="B45:U45" si="15">B17*B17</f>
        <v>0</v>
      </c>
      <c r="C45" s="30">
        <f t="shared" si="15"/>
        <v>0</v>
      </c>
      <c r="D45" s="30">
        <f t="shared" si="15"/>
        <v>0</v>
      </c>
      <c r="E45" s="30">
        <f t="shared" si="15"/>
        <v>0</v>
      </c>
      <c r="F45" s="30">
        <f t="shared" si="15"/>
        <v>0</v>
      </c>
      <c r="G45" s="30">
        <f t="shared" si="15"/>
        <v>0</v>
      </c>
      <c r="H45" s="30">
        <f t="shared" si="15"/>
        <v>0</v>
      </c>
      <c r="I45" s="30">
        <f t="shared" si="15"/>
        <v>0</v>
      </c>
      <c r="J45" s="30">
        <f t="shared" si="15"/>
        <v>0</v>
      </c>
      <c r="K45" s="30">
        <f t="shared" si="15"/>
        <v>0</v>
      </c>
      <c r="L45" s="30">
        <f t="shared" si="15"/>
        <v>0</v>
      </c>
      <c r="M45" s="30">
        <f t="shared" si="15"/>
        <v>0</v>
      </c>
      <c r="N45" s="30">
        <f t="shared" si="15"/>
        <v>0</v>
      </c>
      <c r="O45" s="30">
        <f t="shared" si="15"/>
        <v>0</v>
      </c>
      <c r="P45" s="30">
        <f t="shared" si="15"/>
        <v>0</v>
      </c>
      <c r="Q45" s="30">
        <f t="shared" si="15"/>
        <v>0</v>
      </c>
      <c r="R45" s="30">
        <f t="shared" si="15"/>
        <v>0</v>
      </c>
      <c r="S45" s="30">
        <f t="shared" si="15"/>
        <v>0</v>
      </c>
      <c r="T45" s="30">
        <f t="shared" si="15"/>
        <v>0</v>
      </c>
      <c r="U45" s="30">
        <f t="shared" si="15"/>
        <v>0</v>
      </c>
      <c r="V45">
        <f t="shared" si="5"/>
        <v>0</v>
      </c>
      <c r="W45">
        <f t="shared" si="6"/>
        <v>0</v>
      </c>
      <c r="X45">
        <f>L4*(L4-1)</f>
        <v>380</v>
      </c>
      <c r="Y45" s="62">
        <f>L4*V45-W45</f>
        <v>0</v>
      </c>
      <c r="Z45">
        <f t="shared" si="7"/>
        <v>0</v>
      </c>
      <c r="AA45">
        <f t="shared" si="8"/>
        <v>0</v>
      </c>
      <c r="AB45">
        <f t="shared" si="9"/>
        <v>0</v>
      </c>
    </row>
    <row r="46" spans="1:28" x14ac:dyDescent="0.2">
      <c r="A46" s="27">
        <f t="shared" si="10"/>
        <v>17</v>
      </c>
      <c r="B46" s="30">
        <f t="shared" ref="B46:U46" si="16">B18*B18</f>
        <v>0</v>
      </c>
      <c r="C46" s="30">
        <f t="shared" si="16"/>
        <v>0</v>
      </c>
      <c r="D46" s="30">
        <f t="shared" si="16"/>
        <v>0</v>
      </c>
      <c r="E46" s="30">
        <f t="shared" si="16"/>
        <v>0</v>
      </c>
      <c r="F46" s="30">
        <f t="shared" si="16"/>
        <v>0</v>
      </c>
      <c r="G46" s="30">
        <f t="shared" si="16"/>
        <v>0</v>
      </c>
      <c r="H46" s="30">
        <f t="shared" si="16"/>
        <v>0</v>
      </c>
      <c r="I46" s="30">
        <f t="shared" si="16"/>
        <v>0</v>
      </c>
      <c r="J46" s="30">
        <f t="shared" si="16"/>
        <v>0</v>
      </c>
      <c r="K46" s="30">
        <f t="shared" si="16"/>
        <v>0</v>
      </c>
      <c r="L46" s="30">
        <f t="shared" si="16"/>
        <v>0</v>
      </c>
      <c r="M46" s="30">
        <f t="shared" si="16"/>
        <v>0</v>
      </c>
      <c r="N46" s="30">
        <f t="shared" si="16"/>
        <v>0</v>
      </c>
      <c r="O46" s="30">
        <f t="shared" si="16"/>
        <v>0</v>
      </c>
      <c r="P46" s="30">
        <f t="shared" si="16"/>
        <v>0</v>
      </c>
      <c r="Q46" s="30">
        <f t="shared" si="16"/>
        <v>0</v>
      </c>
      <c r="R46" s="30">
        <f t="shared" si="16"/>
        <v>0</v>
      </c>
      <c r="S46" s="30">
        <f t="shared" si="16"/>
        <v>0</v>
      </c>
      <c r="T46" s="30">
        <f t="shared" si="16"/>
        <v>0</v>
      </c>
      <c r="U46" s="30">
        <f t="shared" si="16"/>
        <v>0</v>
      </c>
      <c r="V46">
        <f t="shared" si="5"/>
        <v>0</v>
      </c>
      <c r="W46">
        <f t="shared" si="6"/>
        <v>0</v>
      </c>
      <c r="X46">
        <f>L4*(L4-1)</f>
        <v>380</v>
      </c>
      <c r="Y46" s="62">
        <f>L4*V46-W46</f>
        <v>0</v>
      </c>
      <c r="Z46">
        <f t="shared" si="7"/>
        <v>0</v>
      </c>
      <c r="AA46">
        <f t="shared" si="8"/>
        <v>0</v>
      </c>
      <c r="AB46">
        <f t="shared" si="9"/>
        <v>0</v>
      </c>
    </row>
    <row r="47" spans="1:28" x14ac:dyDescent="0.2">
      <c r="A47" s="27">
        <f t="shared" si="10"/>
        <v>18</v>
      </c>
      <c r="B47" s="30">
        <f t="shared" ref="B47:U47" si="17">B19*B19</f>
        <v>0</v>
      </c>
      <c r="C47" s="30">
        <f t="shared" si="17"/>
        <v>0</v>
      </c>
      <c r="D47" s="30">
        <f t="shared" si="17"/>
        <v>0</v>
      </c>
      <c r="E47" s="30">
        <f t="shared" si="17"/>
        <v>0</v>
      </c>
      <c r="F47" s="30">
        <f t="shared" si="17"/>
        <v>0</v>
      </c>
      <c r="G47" s="30">
        <f t="shared" si="17"/>
        <v>0</v>
      </c>
      <c r="H47" s="30">
        <f t="shared" si="17"/>
        <v>0</v>
      </c>
      <c r="I47" s="30">
        <f t="shared" si="17"/>
        <v>0</v>
      </c>
      <c r="J47" s="30">
        <f t="shared" si="17"/>
        <v>0</v>
      </c>
      <c r="K47" s="30">
        <f t="shared" si="17"/>
        <v>0</v>
      </c>
      <c r="L47" s="30">
        <f t="shared" si="17"/>
        <v>0</v>
      </c>
      <c r="M47" s="30">
        <f t="shared" si="17"/>
        <v>0</v>
      </c>
      <c r="N47" s="30">
        <f t="shared" si="17"/>
        <v>0</v>
      </c>
      <c r="O47" s="30">
        <f t="shared" si="17"/>
        <v>0</v>
      </c>
      <c r="P47" s="30">
        <f t="shared" si="17"/>
        <v>0</v>
      </c>
      <c r="Q47" s="30">
        <f t="shared" si="17"/>
        <v>0</v>
      </c>
      <c r="R47" s="30">
        <f t="shared" si="17"/>
        <v>0</v>
      </c>
      <c r="S47" s="30">
        <f t="shared" si="17"/>
        <v>0</v>
      </c>
      <c r="T47" s="30">
        <f t="shared" si="17"/>
        <v>0</v>
      </c>
      <c r="U47" s="30">
        <f t="shared" si="17"/>
        <v>0</v>
      </c>
      <c r="V47">
        <f t="shared" si="5"/>
        <v>0</v>
      </c>
      <c r="W47">
        <f t="shared" si="6"/>
        <v>0</v>
      </c>
      <c r="X47">
        <f>L4*(L4-1)</f>
        <v>380</v>
      </c>
      <c r="Y47" s="62">
        <f>L4*V47-W47</f>
        <v>0</v>
      </c>
      <c r="Z47">
        <f t="shared" si="7"/>
        <v>0</v>
      </c>
      <c r="AA47">
        <f t="shared" si="8"/>
        <v>0</v>
      </c>
      <c r="AB47">
        <f t="shared" si="9"/>
        <v>0</v>
      </c>
    </row>
    <row r="48" spans="1:28" x14ac:dyDescent="0.2">
      <c r="A48" s="27">
        <f t="shared" si="10"/>
        <v>19</v>
      </c>
      <c r="B48" s="30">
        <f t="shared" ref="B48:U48" si="18">B20*B20</f>
        <v>0</v>
      </c>
      <c r="C48" s="30">
        <f t="shared" si="18"/>
        <v>0</v>
      </c>
      <c r="D48" s="30">
        <f t="shared" si="18"/>
        <v>0</v>
      </c>
      <c r="E48" s="30">
        <f t="shared" si="18"/>
        <v>0</v>
      </c>
      <c r="F48" s="30">
        <f t="shared" si="18"/>
        <v>0</v>
      </c>
      <c r="G48" s="30">
        <f t="shared" si="18"/>
        <v>0</v>
      </c>
      <c r="H48" s="30">
        <f t="shared" si="18"/>
        <v>0</v>
      </c>
      <c r="I48" s="30">
        <f t="shared" si="18"/>
        <v>0</v>
      </c>
      <c r="J48" s="30">
        <f t="shared" si="18"/>
        <v>0</v>
      </c>
      <c r="K48" s="30">
        <f t="shared" si="18"/>
        <v>0</v>
      </c>
      <c r="L48" s="30">
        <f t="shared" si="18"/>
        <v>0</v>
      </c>
      <c r="M48" s="30">
        <f t="shared" si="18"/>
        <v>0</v>
      </c>
      <c r="N48" s="30">
        <f t="shared" si="18"/>
        <v>0</v>
      </c>
      <c r="O48" s="30">
        <f t="shared" si="18"/>
        <v>0</v>
      </c>
      <c r="P48" s="30">
        <f t="shared" si="18"/>
        <v>0</v>
      </c>
      <c r="Q48" s="30">
        <f t="shared" si="18"/>
        <v>0</v>
      </c>
      <c r="R48" s="30">
        <f t="shared" si="18"/>
        <v>0</v>
      </c>
      <c r="S48" s="30">
        <f t="shared" si="18"/>
        <v>0</v>
      </c>
      <c r="T48" s="30">
        <f t="shared" si="18"/>
        <v>0</v>
      </c>
      <c r="U48" s="30">
        <f t="shared" si="18"/>
        <v>0</v>
      </c>
      <c r="V48">
        <f t="shared" si="5"/>
        <v>0</v>
      </c>
      <c r="W48">
        <f t="shared" si="6"/>
        <v>0</v>
      </c>
      <c r="X48">
        <f>L4*(L4-1)</f>
        <v>380</v>
      </c>
      <c r="Y48" s="62">
        <f>L4*V48-W48</f>
        <v>0</v>
      </c>
      <c r="Z48">
        <f t="shared" si="7"/>
        <v>0</v>
      </c>
      <c r="AA48">
        <f t="shared" si="8"/>
        <v>0</v>
      </c>
      <c r="AB48">
        <f t="shared" si="9"/>
        <v>0</v>
      </c>
    </row>
    <row r="49" spans="1:28" x14ac:dyDescent="0.2">
      <c r="A49" s="27">
        <f t="shared" si="10"/>
        <v>20</v>
      </c>
      <c r="B49" s="30">
        <f t="shared" ref="B49:U49" si="19">B21*B21</f>
        <v>0</v>
      </c>
      <c r="C49" s="30">
        <f t="shared" si="19"/>
        <v>0</v>
      </c>
      <c r="D49" s="30">
        <f t="shared" si="19"/>
        <v>0</v>
      </c>
      <c r="E49" s="30">
        <f t="shared" si="19"/>
        <v>0</v>
      </c>
      <c r="F49" s="30">
        <f t="shared" si="19"/>
        <v>0</v>
      </c>
      <c r="G49" s="30">
        <f t="shared" si="19"/>
        <v>0</v>
      </c>
      <c r="H49" s="30">
        <f t="shared" si="19"/>
        <v>0</v>
      </c>
      <c r="I49" s="30">
        <f t="shared" si="19"/>
        <v>0</v>
      </c>
      <c r="J49" s="30">
        <f t="shared" si="19"/>
        <v>0</v>
      </c>
      <c r="K49" s="30">
        <f t="shared" si="19"/>
        <v>0</v>
      </c>
      <c r="L49" s="30">
        <f t="shared" si="19"/>
        <v>0</v>
      </c>
      <c r="M49" s="30">
        <f t="shared" si="19"/>
        <v>0</v>
      </c>
      <c r="N49" s="30">
        <f t="shared" si="19"/>
        <v>0</v>
      </c>
      <c r="O49" s="30">
        <f t="shared" si="19"/>
        <v>0</v>
      </c>
      <c r="P49" s="30">
        <f t="shared" si="19"/>
        <v>0</v>
      </c>
      <c r="Q49" s="30">
        <f t="shared" si="19"/>
        <v>0</v>
      </c>
      <c r="R49" s="30">
        <f t="shared" si="19"/>
        <v>0</v>
      </c>
      <c r="S49" s="30">
        <f t="shared" si="19"/>
        <v>0</v>
      </c>
      <c r="T49" s="30">
        <f t="shared" si="19"/>
        <v>0</v>
      </c>
      <c r="U49" s="30">
        <f t="shared" si="19"/>
        <v>0</v>
      </c>
      <c r="V49">
        <f t="shared" si="5"/>
        <v>0</v>
      </c>
      <c r="W49">
        <f t="shared" si="6"/>
        <v>0</v>
      </c>
      <c r="X49">
        <f>L4*(L4-1)</f>
        <v>380</v>
      </c>
      <c r="Y49" s="62">
        <f>L4*V49-W49</f>
        <v>0</v>
      </c>
      <c r="Z49">
        <f t="shared" si="7"/>
        <v>0</v>
      </c>
      <c r="AA49">
        <f t="shared" si="8"/>
        <v>0</v>
      </c>
      <c r="AB49">
        <f t="shared" si="9"/>
        <v>0</v>
      </c>
    </row>
    <row r="50" spans="1:28" x14ac:dyDescent="0.2">
      <c r="A50" s="27"/>
      <c r="B50" s="30"/>
      <c r="C50" s="30"/>
      <c r="D50" s="30"/>
      <c r="E50" s="30"/>
      <c r="F50" s="30"/>
      <c r="G50" s="30"/>
      <c r="H50" s="30"/>
      <c r="I50" s="30"/>
      <c r="J50" s="30"/>
      <c r="K50" s="30"/>
      <c r="L50" s="30"/>
      <c r="M50" s="30"/>
      <c r="N50" s="30"/>
      <c r="O50" s="30"/>
      <c r="P50" s="30"/>
      <c r="Q50" s="30"/>
      <c r="R50" s="30"/>
      <c r="S50" s="30"/>
      <c r="T50" s="30"/>
      <c r="U50" s="30"/>
    </row>
    <row r="51" spans="1:28" x14ac:dyDescent="0.2">
      <c r="A51" s="27"/>
      <c r="B51" s="30"/>
      <c r="C51" s="30"/>
      <c r="D51" s="30"/>
      <c r="E51" s="30"/>
      <c r="F51" s="30"/>
      <c r="G51" s="30"/>
      <c r="H51" s="30"/>
      <c r="I51" s="30"/>
      <c r="J51" s="30"/>
      <c r="K51" s="30"/>
      <c r="L51" s="30"/>
      <c r="M51" s="30"/>
      <c r="N51" s="30"/>
      <c r="O51" s="30"/>
      <c r="P51" s="30"/>
      <c r="Q51" s="30"/>
      <c r="R51" s="30"/>
      <c r="S51" s="30"/>
      <c r="T51" s="30"/>
      <c r="U51" s="30"/>
    </row>
    <row r="52" spans="1:28" x14ac:dyDescent="0.2">
      <c r="A52" s="27"/>
      <c r="B52" s="30"/>
      <c r="C52" s="30"/>
      <c r="D52" s="30"/>
      <c r="E52" s="30"/>
      <c r="F52" s="30"/>
      <c r="G52" s="30"/>
      <c r="H52" s="30"/>
      <c r="I52" s="30"/>
      <c r="J52" s="30"/>
      <c r="K52" s="30"/>
      <c r="L52" s="30"/>
      <c r="M52" s="30"/>
      <c r="N52" s="30"/>
      <c r="O52" s="30"/>
      <c r="P52" s="30"/>
      <c r="Q52" s="30"/>
      <c r="R52" s="30"/>
      <c r="S52" s="30"/>
      <c r="T52" s="30"/>
      <c r="U52" s="30"/>
    </row>
    <row r="53" spans="1:28" x14ac:dyDescent="0.2">
      <c r="A53" s="27"/>
      <c r="B53" s="30"/>
      <c r="C53" s="30"/>
      <c r="D53" s="30"/>
      <c r="E53" s="30"/>
      <c r="F53" s="30"/>
      <c r="G53" s="30"/>
      <c r="H53" s="30"/>
      <c r="I53" s="30"/>
      <c r="J53" s="30"/>
      <c r="K53" s="30"/>
      <c r="L53" s="30"/>
      <c r="M53" s="30"/>
      <c r="N53" s="30"/>
      <c r="O53" s="30"/>
      <c r="P53" s="30"/>
      <c r="Q53" s="30"/>
      <c r="R53" s="30"/>
      <c r="S53" s="30"/>
      <c r="T53" s="30"/>
      <c r="U53" s="30"/>
    </row>
    <row r="54" spans="1:28" x14ac:dyDescent="0.2">
      <c r="A54" s="27"/>
      <c r="B54" s="30"/>
      <c r="C54" s="30"/>
      <c r="D54" s="30"/>
      <c r="E54" s="30"/>
      <c r="F54" s="30"/>
      <c r="G54" s="30"/>
      <c r="H54" s="30"/>
      <c r="I54" s="30"/>
      <c r="J54" s="30"/>
      <c r="K54" s="30"/>
      <c r="L54" s="30"/>
      <c r="M54" s="30"/>
      <c r="N54" s="30"/>
      <c r="O54" s="30"/>
      <c r="P54" s="30"/>
      <c r="Q54" s="30"/>
      <c r="R54" s="30"/>
      <c r="S54" s="30"/>
      <c r="T54" s="30"/>
      <c r="U54" s="30"/>
    </row>
    <row r="55" spans="1:28" x14ac:dyDescent="0.2">
      <c r="A55" s="27"/>
      <c r="B55" s="30"/>
      <c r="C55" s="30"/>
      <c r="D55" s="30"/>
      <c r="E55" s="30"/>
      <c r="F55" s="30"/>
      <c r="G55" s="30"/>
      <c r="H55" s="30"/>
      <c r="I55" s="30"/>
      <c r="J55" s="30"/>
      <c r="K55" s="30"/>
      <c r="L55" s="30"/>
      <c r="M55" s="30"/>
      <c r="N55" s="30"/>
      <c r="O55" s="30"/>
      <c r="P55" s="30"/>
      <c r="Q55" s="30"/>
      <c r="R55" s="30"/>
      <c r="S55" s="30"/>
      <c r="T55" s="30"/>
      <c r="U55" s="30"/>
    </row>
  </sheetData>
  <pageMargins left="0.78740157499999996" right="0.78740157499999996" top="0.984251969" bottom="0.984251969" header="0.5" footer="0.5"/>
  <pageSetup paperSize="9" orientation="landscape"/>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AB54"/>
  <sheetViews>
    <sheetView workbookViewId="0">
      <selection activeCell="W2" sqref="W2:AB7"/>
    </sheetView>
  </sheetViews>
  <sheetFormatPr baseColWidth="10" defaultColWidth="8.85546875" defaultRowHeight="12.75" x14ac:dyDescent="0.2"/>
  <cols>
    <col min="1" max="1" width="6.42578125" customWidth="1"/>
    <col min="2" max="21" width="3.7109375" customWidth="1"/>
    <col min="22" max="22" width="8.7109375" customWidth="1"/>
    <col min="23" max="23" width="9.7109375" customWidth="1"/>
    <col min="24" max="24" width="8.85546875" customWidth="1"/>
    <col min="25" max="25" width="6.85546875" customWidth="1"/>
    <col min="26" max="26" width="16.42578125" customWidth="1"/>
  </cols>
  <sheetData>
    <row r="1" spans="1:28" ht="18" x14ac:dyDescent="0.25">
      <c r="A1" s="1" t="s">
        <v>79</v>
      </c>
    </row>
    <row r="2" spans="1:28" x14ac:dyDescent="0.2">
      <c r="L2" s="25" t="s">
        <v>61</v>
      </c>
      <c r="M2" s="4"/>
      <c r="N2" s="4"/>
      <c r="O2" s="4"/>
      <c r="P2" s="4"/>
      <c r="Q2" s="4"/>
      <c r="R2" s="4"/>
      <c r="S2" s="4"/>
      <c r="T2" s="4"/>
      <c r="U2" s="5"/>
      <c r="W2" s="25"/>
      <c r="X2" s="4"/>
      <c r="Y2" s="4"/>
      <c r="Z2" s="4"/>
      <c r="AA2" s="4"/>
      <c r="AB2" s="5"/>
    </row>
    <row r="3" spans="1:28" ht="13.5" thickBot="1" x14ac:dyDescent="0.25">
      <c r="B3" s="3" t="s">
        <v>32</v>
      </c>
      <c r="C3" s="7"/>
      <c r="D3" s="7"/>
      <c r="G3" s="7"/>
      <c r="H3" s="7"/>
      <c r="I3" s="7"/>
      <c r="J3" s="7"/>
      <c r="K3" s="7"/>
      <c r="L3" s="47" t="s">
        <v>62</v>
      </c>
      <c r="M3" s="7"/>
      <c r="N3" s="7"/>
      <c r="O3" s="7"/>
      <c r="P3" s="21">
        <f>V25*V25</f>
        <v>0</v>
      </c>
      <c r="Q3" s="40" t="s">
        <v>13</v>
      </c>
      <c r="S3" s="7"/>
      <c r="T3" s="7"/>
      <c r="U3" s="8"/>
      <c r="W3" s="33"/>
      <c r="X3" s="7"/>
      <c r="Y3" s="7"/>
      <c r="Z3" s="7"/>
      <c r="AA3" s="7"/>
      <c r="AB3" s="8"/>
    </row>
    <row r="4" spans="1:28" x14ac:dyDescent="0.2">
      <c r="A4" s="22">
        <f>(P8/L6)*100</f>
        <v>0</v>
      </c>
      <c r="B4" s="13" t="s">
        <v>80</v>
      </c>
      <c r="C4" s="14"/>
      <c r="D4" s="14"/>
      <c r="E4" s="14"/>
      <c r="F4" s="15"/>
      <c r="G4" s="15"/>
      <c r="H4" s="15"/>
      <c r="I4" s="15"/>
      <c r="J4" s="16"/>
      <c r="K4" s="7"/>
      <c r="L4" s="60">
        <f>Aperçu!N2</f>
        <v>20</v>
      </c>
      <c r="M4" s="7"/>
      <c r="N4" s="7"/>
      <c r="O4" s="7"/>
      <c r="P4" s="6">
        <f>L4*(L4-1)</f>
        <v>380</v>
      </c>
      <c r="Q4" s="40" t="s">
        <v>14</v>
      </c>
      <c r="S4" s="7"/>
      <c r="T4" s="7"/>
      <c r="U4" s="8"/>
      <c r="W4" s="33"/>
      <c r="X4" s="7"/>
      <c r="Y4" s="7"/>
      <c r="Z4" s="7"/>
      <c r="AA4" s="7"/>
      <c r="AB4" s="8"/>
    </row>
    <row r="5" spans="1:28" ht="13.5" thickBot="1" x14ac:dyDescent="0.25">
      <c r="A5" s="23">
        <f>100-(P9*2)</f>
        <v>100</v>
      </c>
      <c r="B5" s="17" t="s">
        <v>52</v>
      </c>
      <c r="C5" s="18"/>
      <c r="D5" s="18"/>
      <c r="E5" s="18"/>
      <c r="F5" s="19"/>
      <c r="G5" s="19"/>
      <c r="H5" s="19"/>
      <c r="I5" s="19"/>
      <c r="J5" s="20"/>
      <c r="K5" s="7"/>
      <c r="L5" s="47" t="s">
        <v>81</v>
      </c>
      <c r="M5" s="7"/>
      <c r="N5" s="7"/>
      <c r="O5" s="7"/>
      <c r="P5" s="21">
        <f>(L4*V26)-P3</f>
        <v>0</v>
      </c>
      <c r="Q5" s="40" t="s">
        <v>124</v>
      </c>
      <c r="S5" s="7"/>
      <c r="T5" s="7"/>
      <c r="U5" s="8"/>
      <c r="W5" s="33"/>
      <c r="X5" s="7"/>
      <c r="Y5" s="7"/>
      <c r="Z5" s="7"/>
      <c r="AA5" s="7"/>
      <c r="AB5" s="8"/>
    </row>
    <row r="6" spans="1:28" x14ac:dyDescent="0.2">
      <c r="J6" s="7"/>
      <c r="K6" s="7"/>
      <c r="L6" s="60">
        <f>10*5</f>
        <v>50</v>
      </c>
      <c r="M6" s="7"/>
      <c r="N6" s="9"/>
      <c r="O6" s="7"/>
      <c r="P6" s="6">
        <f>P5/P4</f>
        <v>0</v>
      </c>
      <c r="Q6" s="40" t="s">
        <v>15</v>
      </c>
      <c r="S6" s="7"/>
      <c r="T6" s="7"/>
      <c r="U6" s="8"/>
      <c r="W6" s="33"/>
      <c r="X6" s="7"/>
      <c r="Y6" s="7"/>
      <c r="Z6" s="7"/>
      <c r="AA6" s="7"/>
      <c r="AB6" s="8"/>
    </row>
    <row r="7" spans="1:28" x14ac:dyDescent="0.2">
      <c r="C7" s="7"/>
      <c r="D7" s="7"/>
      <c r="G7" s="7"/>
      <c r="H7" s="7"/>
      <c r="I7" s="7"/>
      <c r="J7" s="7"/>
      <c r="K7" s="7"/>
      <c r="L7" s="47" t="s">
        <v>64</v>
      </c>
      <c r="M7" s="7"/>
      <c r="N7" s="9"/>
      <c r="O7" s="7"/>
      <c r="P7" s="6">
        <f>SQRT(P6)</f>
        <v>0</v>
      </c>
      <c r="Q7" s="40" t="s">
        <v>16</v>
      </c>
      <c r="S7" s="7"/>
      <c r="T7" s="7"/>
      <c r="U7" s="8"/>
      <c r="W7" s="46"/>
      <c r="X7" s="11"/>
      <c r="Y7" s="11"/>
      <c r="Z7" s="11"/>
      <c r="AA7" s="11"/>
      <c r="AB7" s="12"/>
    </row>
    <row r="8" spans="1:28" x14ac:dyDescent="0.2">
      <c r="C8" s="7"/>
      <c r="D8" s="7"/>
      <c r="G8" s="7"/>
      <c r="H8" s="7"/>
      <c r="I8" s="7"/>
      <c r="J8" s="7"/>
      <c r="L8" s="60">
        <v>10</v>
      </c>
      <c r="M8" s="7"/>
      <c r="N8" s="7"/>
      <c r="O8" s="7"/>
      <c r="P8" s="7">
        <f>V25/L4</f>
        <v>0</v>
      </c>
      <c r="Q8" s="40" t="s">
        <v>53</v>
      </c>
      <c r="R8" s="7"/>
      <c r="S8" s="7"/>
      <c r="T8" s="7"/>
      <c r="U8" s="8"/>
    </row>
    <row r="9" spans="1:28" x14ac:dyDescent="0.2">
      <c r="L9" s="10"/>
      <c r="M9" s="11"/>
      <c r="N9" s="11"/>
      <c r="O9" s="11"/>
      <c r="P9" s="11">
        <f>P7/((L8*5)-(L8*1))*100</f>
        <v>0</v>
      </c>
      <c r="Q9" s="41" t="s">
        <v>82</v>
      </c>
      <c r="R9" s="11"/>
      <c r="S9" s="11"/>
      <c r="T9" s="11"/>
      <c r="U9" s="12"/>
    </row>
    <row r="10" spans="1:28" x14ac:dyDescent="0.2">
      <c r="A10" s="3"/>
      <c r="B10" s="84" t="s">
        <v>199</v>
      </c>
      <c r="C10" s="84"/>
      <c r="D10" s="84"/>
      <c r="E10" s="84"/>
      <c r="F10" s="84"/>
      <c r="G10" s="84"/>
      <c r="H10" s="84"/>
      <c r="I10" s="84"/>
      <c r="J10" s="84"/>
      <c r="K10" s="84"/>
      <c r="L10" s="84"/>
      <c r="M10" s="84"/>
      <c r="N10" s="84"/>
      <c r="O10" s="84"/>
      <c r="P10" s="84"/>
      <c r="Q10" s="84"/>
      <c r="R10" s="84"/>
      <c r="S10" s="84"/>
      <c r="T10" s="84"/>
      <c r="U10" s="84"/>
      <c r="W10" s="25" t="s">
        <v>83</v>
      </c>
      <c r="X10" s="35"/>
      <c r="Y10" s="4"/>
      <c r="Z10" s="4"/>
      <c r="AA10" s="4"/>
      <c r="AB10" s="5"/>
    </row>
    <row r="11" spans="1:28" x14ac:dyDescent="0.2">
      <c r="A11" s="89" t="s">
        <v>200</v>
      </c>
      <c r="B11" s="27">
        <v>1</v>
      </c>
      <c r="C11" s="27">
        <v>2</v>
      </c>
      <c r="D11" s="27">
        <v>3</v>
      </c>
      <c r="E11" s="27">
        <v>4</v>
      </c>
      <c r="F11" s="27">
        <v>5</v>
      </c>
      <c r="G11" s="27">
        <v>6</v>
      </c>
      <c r="H11" s="27">
        <v>7</v>
      </c>
      <c r="I11" s="27">
        <v>8</v>
      </c>
      <c r="J11" s="27">
        <v>9</v>
      </c>
      <c r="K11" s="27">
        <v>10</v>
      </c>
      <c r="L11" s="27">
        <v>11</v>
      </c>
      <c r="M11" s="27">
        <v>12</v>
      </c>
      <c r="N11" s="27">
        <v>13</v>
      </c>
      <c r="O11" s="27">
        <v>14</v>
      </c>
      <c r="P11" s="27">
        <v>15</v>
      </c>
      <c r="Q11" s="27">
        <v>16</v>
      </c>
      <c r="R11" s="27">
        <v>17</v>
      </c>
      <c r="S11" s="27">
        <v>18</v>
      </c>
      <c r="T11" s="27">
        <v>19</v>
      </c>
      <c r="U11" s="27">
        <v>20</v>
      </c>
      <c r="V11" s="90" t="s">
        <v>68</v>
      </c>
      <c r="W11" s="26" t="s">
        <v>33</v>
      </c>
      <c r="X11" s="43" t="s">
        <v>34</v>
      </c>
      <c r="Y11" s="34" t="s">
        <v>67</v>
      </c>
      <c r="Z11" s="7"/>
      <c r="AA11" s="7"/>
      <c r="AB11" s="8"/>
    </row>
    <row r="12" spans="1:28" x14ac:dyDescent="0.2">
      <c r="A12" s="27">
        <v>21</v>
      </c>
      <c r="B12" s="30"/>
      <c r="C12" s="30"/>
      <c r="D12" s="30"/>
      <c r="E12" s="30"/>
      <c r="F12" s="30"/>
      <c r="G12" s="30"/>
      <c r="H12" s="30"/>
      <c r="I12" s="30"/>
      <c r="J12" s="30"/>
      <c r="K12" s="30"/>
      <c r="L12" s="30"/>
      <c r="M12" s="30"/>
      <c r="N12" s="30"/>
      <c r="O12" s="30"/>
      <c r="P12" s="30"/>
      <c r="Q12" s="30"/>
      <c r="R12" s="30"/>
      <c r="S12" s="30"/>
      <c r="T12" s="30"/>
      <c r="U12" s="30"/>
      <c r="V12" s="30">
        <f t="shared" ref="V12:V26" si="0">SUM(B12:U12)</f>
        <v>0</v>
      </c>
      <c r="W12" s="36">
        <f>V12/L4*20</f>
        <v>0</v>
      </c>
      <c r="X12" s="37">
        <f t="shared" ref="X12:X21" si="1">100-(AB42*2)</f>
        <v>100</v>
      </c>
      <c r="Y12" s="68" t="s">
        <v>150</v>
      </c>
      <c r="Z12" s="7"/>
      <c r="AA12" s="7"/>
      <c r="AB12" s="8"/>
    </row>
    <row r="13" spans="1:28" x14ac:dyDescent="0.2">
      <c r="A13" s="27">
        <v>22</v>
      </c>
      <c r="B13" s="30"/>
      <c r="C13" s="30"/>
      <c r="D13" s="30"/>
      <c r="E13" s="30"/>
      <c r="F13" s="30"/>
      <c r="G13" s="30"/>
      <c r="H13" s="30"/>
      <c r="I13" s="30"/>
      <c r="J13" s="30"/>
      <c r="K13" s="30"/>
      <c r="L13" s="30"/>
      <c r="M13" s="30"/>
      <c r="N13" s="30"/>
      <c r="O13" s="30"/>
      <c r="P13" s="30"/>
      <c r="Q13" s="30"/>
      <c r="R13" s="30"/>
      <c r="S13" s="30"/>
      <c r="T13" s="30"/>
      <c r="U13" s="30"/>
      <c r="V13" s="30">
        <f t="shared" si="0"/>
        <v>0</v>
      </c>
      <c r="W13" s="36">
        <f>V13/L4*20</f>
        <v>0</v>
      </c>
      <c r="X13" s="37">
        <f t="shared" si="1"/>
        <v>100</v>
      </c>
      <c r="Y13" s="68" t="s">
        <v>151</v>
      </c>
      <c r="Z13" s="7"/>
      <c r="AA13" s="7"/>
      <c r="AB13" s="8"/>
    </row>
    <row r="14" spans="1:28" x14ac:dyDescent="0.2">
      <c r="A14" s="27">
        <v>23</v>
      </c>
      <c r="B14" s="30"/>
      <c r="C14" s="30"/>
      <c r="D14" s="30"/>
      <c r="E14" s="30"/>
      <c r="F14" s="30"/>
      <c r="G14" s="30"/>
      <c r="H14" s="30"/>
      <c r="I14" s="30"/>
      <c r="J14" s="30"/>
      <c r="K14" s="30"/>
      <c r="L14" s="30"/>
      <c r="M14" s="30"/>
      <c r="N14" s="30"/>
      <c r="O14" s="30"/>
      <c r="P14" s="30"/>
      <c r="Q14" s="30"/>
      <c r="R14" s="30"/>
      <c r="S14" s="30"/>
      <c r="T14" s="30"/>
      <c r="U14" s="30"/>
      <c r="V14" s="30">
        <f t="shared" si="0"/>
        <v>0</v>
      </c>
      <c r="W14" s="36">
        <f>V14/L4*20</f>
        <v>0</v>
      </c>
      <c r="X14" s="37">
        <f t="shared" si="1"/>
        <v>100</v>
      </c>
      <c r="Y14" s="68" t="s">
        <v>152</v>
      </c>
      <c r="Z14" s="7"/>
      <c r="AA14" s="7"/>
      <c r="AB14" s="8"/>
    </row>
    <row r="15" spans="1:28" x14ac:dyDescent="0.2">
      <c r="A15" s="27">
        <v>24</v>
      </c>
      <c r="B15" s="30"/>
      <c r="C15" s="30"/>
      <c r="D15" s="30"/>
      <c r="E15" s="30"/>
      <c r="F15" s="30"/>
      <c r="G15" s="30"/>
      <c r="H15" s="30"/>
      <c r="I15" s="30"/>
      <c r="J15" s="30"/>
      <c r="K15" s="30"/>
      <c r="L15" s="30"/>
      <c r="M15" s="30"/>
      <c r="N15" s="30"/>
      <c r="O15" s="30"/>
      <c r="P15" s="30"/>
      <c r="Q15" s="30"/>
      <c r="R15" s="30"/>
      <c r="S15" s="30"/>
      <c r="T15" s="30"/>
      <c r="U15" s="30"/>
      <c r="V15" s="30">
        <f t="shared" si="0"/>
        <v>0</v>
      </c>
      <c r="W15" s="36">
        <f>V15/L4*20</f>
        <v>0</v>
      </c>
      <c r="X15" s="37">
        <f t="shared" si="1"/>
        <v>100</v>
      </c>
      <c r="Y15" s="68" t="s">
        <v>153</v>
      </c>
      <c r="Z15" s="7"/>
      <c r="AA15" s="7"/>
      <c r="AB15" s="8"/>
    </row>
    <row r="16" spans="1:28" x14ac:dyDescent="0.2">
      <c r="A16" s="27">
        <v>25</v>
      </c>
      <c r="B16" s="30"/>
      <c r="C16" s="30"/>
      <c r="D16" s="30"/>
      <c r="E16" s="30"/>
      <c r="F16" s="30"/>
      <c r="G16" s="30"/>
      <c r="H16" s="30"/>
      <c r="I16" s="30"/>
      <c r="J16" s="30"/>
      <c r="K16" s="30"/>
      <c r="L16" s="30"/>
      <c r="M16" s="30"/>
      <c r="N16" s="30"/>
      <c r="O16" s="30"/>
      <c r="P16" s="30"/>
      <c r="Q16" s="30"/>
      <c r="R16" s="30"/>
      <c r="S16" s="30"/>
      <c r="T16" s="30"/>
      <c r="U16" s="30"/>
      <c r="V16" s="30">
        <f t="shared" si="0"/>
        <v>0</v>
      </c>
      <c r="W16" s="36">
        <f>V16/L4*20</f>
        <v>0</v>
      </c>
      <c r="X16" s="37">
        <f t="shared" si="1"/>
        <v>100</v>
      </c>
      <c r="Y16" s="68" t="s">
        <v>154</v>
      </c>
      <c r="Z16" s="7"/>
      <c r="AA16" s="7"/>
      <c r="AB16" s="8"/>
    </row>
    <row r="17" spans="1:28" x14ac:dyDescent="0.2">
      <c r="A17" s="27">
        <v>26</v>
      </c>
      <c r="B17" s="30"/>
      <c r="C17" s="30"/>
      <c r="D17" s="30"/>
      <c r="E17" s="30"/>
      <c r="F17" s="30"/>
      <c r="G17" s="30"/>
      <c r="H17" s="30"/>
      <c r="I17" s="30"/>
      <c r="J17" s="30"/>
      <c r="K17" s="30"/>
      <c r="L17" s="30"/>
      <c r="M17" s="30"/>
      <c r="N17" s="30"/>
      <c r="O17" s="30"/>
      <c r="P17" s="30"/>
      <c r="Q17" s="30"/>
      <c r="R17" s="30"/>
      <c r="S17" s="30"/>
      <c r="T17" s="30"/>
      <c r="U17" s="30"/>
      <c r="V17" s="30">
        <f t="shared" si="0"/>
        <v>0</v>
      </c>
      <c r="W17" s="36">
        <f>V17/L4*20</f>
        <v>0</v>
      </c>
      <c r="X17" s="37">
        <f t="shared" si="1"/>
        <v>100</v>
      </c>
      <c r="Y17" s="68" t="s">
        <v>155</v>
      </c>
      <c r="Z17" s="7"/>
      <c r="AA17" s="7"/>
      <c r="AB17" s="8"/>
    </row>
    <row r="18" spans="1:28" x14ac:dyDescent="0.2">
      <c r="A18" s="27">
        <v>27</v>
      </c>
      <c r="B18" s="30"/>
      <c r="C18" s="30"/>
      <c r="D18" s="30"/>
      <c r="E18" s="30"/>
      <c r="F18" s="30"/>
      <c r="G18" s="30"/>
      <c r="H18" s="30"/>
      <c r="I18" s="30"/>
      <c r="J18" s="30"/>
      <c r="K18" s="30"/>
      <c r="L18" s="30"/>
      <c r="M18" s="30"/>
      <c r="N18" s="30"/>
      <c r="O18" s="30"/>
      <c r="P18" s="30"/>
      <c r="Q18" s="30"/>
      <c r="R18" s="30"/>
      <c r="S18" s="30"/>
      <c r="T18" s="30"/>
      <c r="U18" s="30"/>
      <c r="V18" s="30">
        <f t="shared" si="0"/>
        <v>0</v>
      </c>
      <c r="W18" s="36">
        <f>V18/L4*20</f>
        <v>0</v>
      </c>
      <c r="X18" s="37">
        <f t="shared" si="1"/>
        <v>100</v>
      </c>
      <c r="Y18" s="68" t="s">
        <v>156</v>
      </c>
      <c r="Z18" s="7"/>
      <c r="AA18" s="7"/>
      <c r="AB18" s="8"/>
    </row>
    <row r="19" spans="1:28" x14ac:dyDescent="0.2">
      <c r="A19" s="27">
        <v>28</v>
      </c>
      <c r="B19" s="30"/>
      <c r="C19" s="30"/>
      <c r="D19" s="30"/>
      <c r="E19" s="30"/>
      <c r="F19" s="30"/>
      <c r="G19" s="30"/>
      <c r="H19" s="30"/>
      <c r="I19" s="30"/>
      <c r="J19" s="30"/>
      <c r="K19" s="30"/>
      <c r="L19" s="30"/>
      <c r="M19" s="30"/>
      <c r="N19" s="30"/>
      <c r="O19" s="30"/>
      <c r="P19" s="30"/>
      <c r="Q19" s="30"/>
      <c r="R19" s="30"/>
      <c r="S19" s="30"/>
      <c r="T19" s="30"/>
      <c r="U19" s="30"/>
      <c r="V19" s="30">
        <f t="shared" si="0"/>
        <v>0</v>
      </c>
      <c r="W19" s="36">
        <f>V19/L4*20</f>
        <v>0</v>
      </c>
      <c r="X19" s="37">
        <f t="shared" si="1"/>
        <v>100</v>
      </c>
      <c r="Y19" s="68" t="s">
        <v>157</v>
      </c>
      <c r="Z19" s="7"/>
      <c r="AA19" s="7"/>
      <c r="AB19" s="8"/>
    </row>
    <row r="20" spans="1:28" x14ac:dyDescent="0.2">
      <c r="A20" s="27">
        <v>29</v>
      </c>
      <c r="B20" s="30"/>
      <c r="C20" s="30"/>
      <c r="D20" s="30"/>
      <c r="E20" s="30"/>
      <c r="F20" s="30"/>
      <c r="G20" s="30"/>
      <c r="H20" s="30"/>
      <c r="I20" s="30"/>
      <c r="J20" s="30"/>
      <c r="K20" s="30"/>
      <c r="L20" s="30"/>
      <c r="M20" s="30"/>
      <c r="N20" s="30"/>
      <c r="O20" s="30"/>
      <c r="P20" s="30"/>
      <c r="Q20" s="30"/>
      <c r="R20" s="30"/>
      <c r="S20" s="30"/>
      <c r="T20" s="30"/>
      <c r="U20" s="30"/>
      <c r="V20" s="30">
        <f t="shared" si="0"/>
        <v>0</v>
      </c>
      <c r="W20" s="36">
        <f>V20/L4*20</f>
        <v>0</v>
      </c>
      <c r="X20" s="37">
        <f t="shared" si="1"/>
        <v>100</v>
      </c>
      <c r="Y20" s="68" t="s">
        <v>158</v>
      </c>
      <c r="Z20" s="7"/>
      <c r="AA20" s="7"/>
      <c r="AB20" s="8"/>
    </row>
    <row r="21" spans="1:28" x14ac:dyDescent="0.2">
      <c r="A21" s="27">
        <v>30</v>
      </c>
      <c r="B21" s="30"/>
      <c r="C21" s="30"/>
      <c r="D21" s="30"/>
      <c r="E21" s="30"/>
      <c r="F21" s="30"/>
      <c r="G21" s="30"/>
      <c r="H21" s="30"/>
      <c r="I21" s="30"/>
      <c r="J21" s="30"/>
      <c r="K21" s="30"/>
      <c r="L21" s="30"/>
      <c r="M21" s="30"/>
      <c r="N21" s="30"/>
      <c r="O21" s="30"/>
      <c r="P21" s="30"/>
      <c r="Q21" s="30"/>
      <c r="R21" s="30"/>
      <c r="S21" s="30"/>
      <c r="T21" s="30"/>
      <c r="U21" s="30"/>
      <c r="V21" s="30">
        <f t="shared" si="0"/>
        <v>0</v>
      </c>
      <c r="W21" s="36">
        <f>V21/L4*20</f>
        <v>0</v>
      </c>
      <c r="X21" s="37">
        <f t="shared" si="1"/>
        <v>100</v>
      </c>
      <c r="Y21" s="61" t="s">
        <v>159</v>
      </c>
      <c r="Z21" s="7"/>
      <c r="AA21" s="7"/>
      <c r="AB21" s="8"/>
    </row>
    <row r="22" spans="1:28" x14ac:dyDescent="0.2">
      <c r="A22" s="27"/>
      <c r="B22" s="30"/>
      <c r="C22" s="30"/>
      <c r="D22" s="30"/>
      <c r="E22" s="30"/>
      <c r="F22" s="30"/>
      <c r="G22" s="30"/>
      <c r="H22" s="30"/>
      <c r="I22" s="30"/>
      <c r="J22" s="30"/>
      <c r="K22" s="30"/>
      <c r="L22" s="30"/>
      <c r="M22" s="30"/>
      <c r="N22" s="30"/>
      <c r="O22" s="30"/>
      <c r="P22" s="30"/>
      <c r="Q22" s="30"/>
      <c r="R22" s="30"/>
      <c r="S22" s="30"/>
      <c r="T22" s="30"/>
      <c r="U22" s="30"/>
      <c r="V22" s="30"/>
      <c r="W22" s="36"/>
      <c r="X22" s="37"/>
      <c r="Y22" s="6"/>
      <c r="Z22" s="7"/>
      <c r="AA22" s="7"/>
      <c r="AB22" s="8"/>
    </row>
    <row r="23" spans="1:28" x14ac:dyDescent="0.2">
      <c r="A23" s="27"/>
      <c r="B23" s="30"/>
      <c r="C23" s="30"/>
      <c r="D23" s="30"/>
      <c r="E23" s="30"/>
      <c r="F23" s="30"/>
      <c r="G23" s="30"/>
      <c r="H23" s="30"/>
      <c r="I23" s="30"/>
      <c r="J23" s="30"/>
      <c r="K23" s="30"/>
      <c r="L23" s="30"/>
      <c r="M23" s="30"/>
      <c r="N23" s="30"/>
      <c r="O23" s="30"/>
      <c r="P23" s="30"/>
      <c r="Q23" s="30"/>
      <c r="R23" s="30"/>
      <c r="S23" s="30"/>
      <c r="T23" s="30"/>
      <c r="U23" s="30"/>
      <c r="V23" s="30"/>
      <c r="W23" s="36"/>
      <c r="X23" s="37"/>
      <c r="Y23" s="6"/>
      <c r="Z23" s="7"/>
      <c r="AA23" s="7"/>
      <c r="AB23" s="8"/>
    </row>
    <row r="24" spans="1:28" x14ac:dyDescent="0.2">
      <c r="A24" s="27"/>
      <c r="B24" s="30"/>
      <c r="C24" s="30"/>
      <c r="D24" s="30"/>
      <c r="E24" s="30"/>
      <c r="F24" s="30"/>
      <c r="G24" s="30"/>
      <c r="H24" s="30"/>
      <c r="I24" s="30"/>
      <c r="J24" s="30"/>
      <c r="K24" s="30"/>
      <c r="L24" s="30"/>
      <c r="M24" s="30"/>
      <c r="N24" s="30"/>
      <c r="O24" s="30"/>
      <c r="P24" s="30"/>
      <c r="Q24" s="30"/>
      <c r="R24" s="30"/>
      <c r="S24" s="30"/>
      <c r="T24" s="30"/>
      <c r="U24" s="30"/>
      <c r="V24" s="30"/>
      <c r="W24" s="38"/>
      <c r="X24" s="39"/>
      <c r="Y24" s="42"/>
      <c r="Z24" s="11"/>
      <c r="AA24" s="11"/>
      <c r="AB24" s="12"/>
    </row>
    <row r="25" spans="1:28" x14ac:dyDescent="0.2">
      <c r="A25" s="27" t="s">
        <v>127</v>
      </c>
      <c r="B25" s="30">
        <f t="shared" ref="B25:U25" si="2">SUM(B12:B24)</f>
        <v>0</v>
      </c>
      <c r="C25" s="30">
        <f t="shared" si="2"/>
        <v>0</v>
      </c>
      <c r="D25" s="30">
        <f t="shared" si="2"/>
        <v>0</v>
      </c>
      <c r="E25" s="30">
        <f t="shared" si="2"/>
        <v>0</v>
      </c>
      <c r="F25" s="30">
        <f t="shared" si="2"/>
        <v>0</v>
      </c>
      <c r="G25" s="30">
        <f t="shared" si="2"/>
        <v>0</v>
      </c>
      <c r="H25" s="30">
        <f t="shared" si="2"/>
        <v>0</v>
      </c>
      <c r="I25" s="30">
        <f t="shared" si="2"/>
        <v>0</v>
      </c>
      <c r="J25" s="30">
        <f t="shared" si="2"/>
        <v>0</v>
      </c>
      <c r="K25" s="30">
        <f t="shared" si="2"/>
        <v>0</v>
      </c>
      <c r="L25" s="30">
        <f t="shared" si="2"/>
        <v>0</v>
      </c>
      <c r="M25" s="30">
        <f t="shared" si="2"/>
        <v>0</v>
      </c>
      <c r="N25" s="30">
        <f t="shared" si="2"/>
        <v>0</v>
      </c>
      <c r="O25" s="30">
        <f t="shared" si="2"/>
        <v>0</v>
      </c>
      <c r="P25" s="30">
        <f t="shared" si="2"/>
        <v>0</v>
      </c>
      <c r="Q25" s="30">
        <f t="shared" si="2"/>
        <v>0</v>
      </c>
      <c r="R25" s="30">
        <f t="shared" si="2"/>
        <v>0</v>
      </c>
      <c r="S25" s="30">
        <f t="shared" si="2"/>
        <v>0</v>
      </c>
      <c r="T25" s="30">
        <f t="shared" si="2"/>
        <v>0</v>
      </c>
      <c r="U25" s="30">
        <f t="shared" si="2"/>
        <v>0</v>
      </c>
      <c r="V25" s="30">
        <f t="shared" si="0"/>
        <v>0</v>
      </c>
      <c r="W25" s="29"/>
    </row>
    <row r="26" spans="1:28" x14ac:dyDescent="0.2">
      <c r="A26" s="27" t="s">
        <v>128</v>
      </c>
      <c r="B26" s="31">
        <f t="shared" ref="B26:U26" si="3">B25*B25</f>
        <v>0</v>
      </c>
      <c r="C26" s="31">
        <f t="shared" si="3"/>
        <v>0</v>
      </c>
      <c r="D26" s="31">
        <f t="shared" si="3"/>
        <v>0</v>
      </c>
      <c r="E26" s="31">
        <f t="shared" si="3"/>
        <v>0</v>
      </c>
      <c r="F26" s="31">
        <f t="shared" si="3"/>
        <v>0</v>
      </c>
      <c r="G26" s="31">
        <f t="shared" si="3"/>
        <v>0</v>
      </c>
      <c r="H26" s="31">
        <f t="shared" si="3"/>
        <v>0</v>
      </c>
      <c r="I26" s="31">
        <f t="shared" si="3"/>
        <v>0</v>
      </c>
      <c r="J26" s="31">
        <f t="shared" si="3"/>
        <v>0</v>
      </c>
      <c r="K26" s="31">
        <f t="shared" si="3"/>
        <v>0</v>
      </c>
      <c r="L26" s="31">
        <f t="shared" si="3"/>
        <v>0</v>
      </c>
      <c r="M26" s="31">
        <f t="shared" si="3"/>
        <v>0</v>
      </c>
      <c r="N26" s="31">
        <f t="shared" si="3"/>
        <v>0</v>
      </c>
      <c r="O26" s="31">
        <f t="shared" si="3"/>
        <v>0</v>
      </c>
      <c r="P26" s="31">
        <f t="shared" si="3"/>
        <v>0</v>
      </c>
      <c r="Q26" s="31">
        <f t="shared" si="3"/>
        <v>0</v>
      </c>
      <c r="R26" s="31">
        <f t="shared" si="3"/>
        <v>0</v>
      </c>
      <c r="S26" s="31">
        <f t="shared" si="3"/>
        <v>0</v>
      </c>
      <c r="T26" s="31">
        <f t="shared" si="3"/>
        <v>0</v>
      </c>
      <c r="U26" s="31">
        <f t="shared" si="3"/>
        <v>0</v>
      </c>
      <c r="V26" s="31">
        <f t="shared" si="0"/>
        <v>0</v>
      </c>
      <c r="W26" t="s">
        <v>12</v>
      </c>
      <c r="X26" s="2"/>
    </row>
    <row r="40" spans="1:28" x14ac:dyDescent="0.2">
      <c r="A40" s="2" t="s">
        <v>25</v>
      </c>
    </row>
    <row r="41" spans="1:28" x14ac:dyDescent="0.2">
      <c r="A41" s="27" t="s">
        <v>1</v>
      </c>
      <c r="B41" s="30" t="s">
        <v>112</v>
      </c>
      <c r="C41" s="30" t="s">
        <v>113</v>
      </c>
      <c r="D41" s="30" t="s">
        <v>114</v>
      </c>
      <c r="E41" s="30" t="s">
        <v>115</v>
      </c>
      <c r="F41" s="30" t="s">
        <v>116</v>
      </c>
      <c r="G41" s="30" t="s">
        <v>117</v>
      </c>
      <c r="H41" s="30" t="s">
        <v>118</v>
      </c>
      <c r="I41" s="30" t="s">
        <v>119</v>
      </c>
      <c r="J41" s="30" t="s">
        <v>120</v>
      </c>
      <c r="K41" s="30" t="s">
        <v>121</v>
      </c>
      <c r="L41" s="30" t="s">
        <v>122</v>
      </c>
      <c r="M41" s="30" t="s">
        <v>123</v>
      </c>
      <c r="N41" s="30" t="s">
        <v>124</v>
      </c>
      <c r="O41" s="30" t="s">
        <v>125</v>
      </c>
      <c r="P41" s="30" t="s">
        <v>126</v>
      </c>
      <c r="Q41" s="30" t="s">
        <v>15</v>
      </c>
      <c r="R41" s="30" t="s">
        <v>17</v>
      </c>
      <c r="S41" s="30" t="s">
        <v>18</v>
      </c>
      <c r="T41" s="30" t="s">
        <v>19</v>
      </c>
      <c r="U41" s="30" t="s">
        <v>20</v>
      </c>
      <c r="V41" t="s">
        <v>24</v>
      </c>
      <c r="W41" t="s">
        <v>13</v>
      </c>
      <c r="X41" t="s">
        <v>14</v>
      </c>
      <c r="Y41" t="s">
        <v>124</v>
      </c>
      <c r="Z41" t="s">
        <v>15</v>
      </c>
      <c r="AA41" t="s">
        <v>21</v>
      </c>
      <c r="AB41" t="s">
        <v>7</v>
      </c>
    </row>
    <row r="42" spans="1:28" x14ac:dyDescent="0.2">
      <c r="A42" s="27">
        <f>A12</f>
        <v>21</v>
      </c>
      <c r="B42" s="30">
        <f t="shared" ref="B42:U42" si="4">B12*B12</f>
        <v>0</v>
      </c>
      <c r="C42" s="30">
        <f t="shared" si="4"/>
        <v>0</v>
      </c>
      <c r="D42" s="30">
        <f t="shared" si="4"/>
        <v>0</v>
      </c>
      <c r="E42" s="30">
        <f t="shared" si="4"/>
        <v>0</v>
      </c>
      <c r="F42" s="30">
        <f t="shared" si="4"/>
        <v>0</v>
      </c>
      <c r="G42" s="30">
        <f t="shared" si="4"/>
        <v>0</v>
      </c>
      <c r="H42" s="30">
        <f t="shared" si="4"/>
        <v>0</v>
      </c>
      <c r="I42" s="30">
        <f t="shared" si="4"/>
        <v>0</v>
      </c>
      <c r="J42" s="30">
        <f t="shared" si="4"/>
        <v>0</v>
      </c>
      <c r="K42" s="30">
        <f t="shared" si="4"/>
        <v>0</v>
      </c>
      <c r="L42" s="30">
        <f t="shared" si="4"/>
        <v>0</v>
      </c>
      <c r="M42" s="30">
        <f t="shared" si="4"/>
        <v>0</v>
      </c>
      <c r="N42" s="30">
        <f t="shared" si="4"/>
        <v>0</v>
      </c>
      <c r="O42" s="30">
        <f t="shared" si="4"/>
        <v>0</v>
      </c>
      <c r="P42" s="30">
        <f t="shared" si="4"/>
        <v>0</v>
      </c>
      <c r="Q42" s="30">
        <f t="shared" si="4"/>
        <v>0</v>
      </c>
      <c r="R42" s="30">
        <f t="shared" si="4"/>
        <v>0</v>
      </c>
      <c r="S42" s="30">
        <f t="shared" si="4"/>
        <v>0</v>
      </c>
      <c r="T42" s="30">
        <f t="shared" si="4"/>
        <v>0</v>
      </c>
      <c r="U42" s="30">
        <f t="shared" si="4"/>
        <v>0</v>
      </c>
      <c r="V42">
        <f t="shared" ref="V42:V51" si="5">SUM(B42:U42)</f>
        <v>0</v>
      </c>
      <c r="W42">
        <f t="shared" ref="W42:W51" si="6">V12*V12</f>
        <v>0</v>
      </c>
      <c r="X42">
        <f>L4*(L4-1)</f>
        <v>380</v>
      </c>
      <c r="Y42">
        <f>L4*V42-W42</f>
        <v>0</v>
      </c>
      <c r="Z42">
        <f t="shared" ref="Z42:Z51" si="7">Y42/X42</f>
        <v>0</v>
      </c>
      <c r="AA42">
        <f t="shared" ref="AA42:AA51" si="8">SQRT(Z42)</f>
        <v>0</v>
      </c>
      <c r="AB42">
        <f t="shared" ref="AB42:AB51" si="9">AA42/4*100</f>
        <v>0</v>
      </c>
    </row>
    <row r="43" spans="1:28" x14ac:dyDescent="0.2">
      <c r="A43" s="27">
        <f t="shared" ref="A43:A51" si="10">A13</f>
        <v>22</v>
      </c>
      <c r="B43" s="30">
        <f t="shared" ref="B43:U43" si="11">B13*B13</f>
        <v>0</v>
      </c>
      <c r="C43" s="30">
        <f t="shared" si="11"/>
        <v>0</v>
      </c>
      <c r="D43" s="30">
        <f t="shared" si="11"/>
        <v>0</v>
      </c>
      <c r="E43" s="30">
        <f t="shared" si="11"/>
        <v>0</v>
      </c>
      <c r="F43" s="30">
        <f t="shared" si="11"/>
        <v>0</v>
      </c>
      <c r="G43" s="30">
        <f t="shared" si="11"/>
        <v>0</v>
      </c>
      <c r="H43" s="30">
        <f t="shared" si="11"/>
        <v>0</v>
      </c>
      <c r="I43" s="30">
        <f t="shared" si="11"/>
        <v>0</v>
      </c>
      <c r="J43" s="30">
        <f t="shared" si="11"/>
        <v>0</v>
      </c>
      <c r="K43" s="30">
        <f t="shared" si="11"/>
        <v>0</v>
      </c>
      <c r="L43" s="30">
        <f t="shared" si="11"/>
        <v>0</v>
      </c>
      <c r="M43" s="30">
        <f t="shared" si="11"/>
        <v>0</v>
      </c>
      <c r="N43" s="30">
        <f t="shared" si="11"/>
        <v>0</v>
      </c>
      <c r="O43" s="30">
        <f t="shared" si="11"/>
        <v>0</v>
      </c>
      <c r="P43" s="30">
        <f t="shared" si="11"/>
        <v>0</v>
      </c>
      <c r="Q43" s="30">
        <f t="shared" si="11"/>
        <v>0</v>
      </c>
      <c r="R43" s="30">
        <f t="shared" si="11"/>
        <v>0</v>
      </c>
      <c r="S43" s="30">
        <f t="shared" si="11"/>
        <v>0</v>
      </c>
      <c r="T43" s="30">
        <f t="shared" si="11"/>
        <v>0</v>
      </c>
      <c r="U43" s="30">
        <f t="shared" si="11"/>
        <v>0</v>
      </c>
      <c r="V43">
        <f t="shared" si="5"/>
        <v>0</v>
      </c>
      <c r="W43">
        <f t="shared" si="6"/>
        <v>0</v>
      </c>
      <c r="X43">
        <f>L4*(L4-1)</f>
        <v>380</v>
      </c>
      <c r="Y43">
        <f>L4*V43-W43</f>
        <v>0</v>
      </c>
      <c r="Z43">
        <f t="shared" si="7"/>
        <v>0</v>
      </c>
      <c r="AA43">
        <f t="shared" si="8"/>
        <v>0</v>
      </c>
      <c r="AB43">
        <f t="shared" si="9"/>
        <v>0</v>
      </c>
    </row>
    <row r="44" spans="1:28" x14ac:dyDescent="0.2">
      <c r="A44" s="27">
        <f t="shared" si="10"/>
        <v>23</v>
      </c>
      <c r="B44" s="30">
        <f t="shared" ref="B44:U44" si="12">B14*B14</f>
        <v>0</v>
      </c>
      <c r="C44" s="30">
        <f t="shared" si="12"/>
        <v>0</v>
      </c>
      <c r="D44" s="30">
        <f t="shared" si="12"/>
        <v>0</v>
      </c>
      <c r="E44" s="30">
        <f t="shared" si="12"/>
        <v>0</v>
      </c>
      <c r="F44" s="30">
        <f t="shared" si="12"/>
        <v>0</v>
      </c>
      <c r="G44" s="30">
        <f t="shared" si="12"/>
        <v>0</v>
      </c>
      <c r="H44" s="30">
        <f t="shared" si="12"/>
        <v>0</v>
      </c>
      <c r="I44" s="30">
        <f t="shared" si="12"/>
        <v>0</v>
      </c>
      <c r="J44" s="30">
        <f t="shared" si="12"/>
        <v>0</v>
      </c>
      <c r="K44" s="30">
        <f t="shared" si="12"/>
        <v>0</v>
      </c>
      <c r="L44" s="30">
        <f t="shared" si="12"/>
        <v>0</v>
      </c>
      <c r="M44" s="30">
        <f t="shared" si="12"/>
        <v>0</v>
      </c>
      <c r="N44" s="30">
        <f t="shared" si="12"/>
        <v>0</v>
      </c>
      <c r="O44" s="30">
        <f t="shared" si="12"/>
        <v>0</v>
      </c>
      <c r="P44" s="30">
        <f t="shared" si="12"/>
        <v>0</v>
      </c>
      <c r="Q44" s="30">
        <f t="shared" si="12"/>
        <v>0</v>
      </c>
      <c r="R44" s="30">
        <f t="shared" si="12"/>
        <v>0</v>
      </c>
      <c r="S44" s="30">
        <f t="shared" si="12"/>
        <v>0</v>
      </c>
      <c r="T44" s="30">
        <f t="shared" si="12"/>
        <v>0</v>
      </c>
      <c r="U44" s="30">
        <f t="shared" si="12"/>
        <v>0</v>
      </c>
      <c r="V44">
        <f t="shared" si="5"/>
        <v>0</v>
      </c>
      <c r="W44">
        <f t="shared" si="6"/>
        <v>0</v>
      </c>
      <c r="X44">
        <f>L4*(L4-1)</f>
        <v>380</v>
      </c>
      <c r="Y44">
        <f>L4*V44-W44</f>
        <v>0</v>
      </c>
      <c r="Z44">
        <f t="shared" si="7"/>
        <v>0</v>
      </c>
      <c r="AA44">
        <f t="shared" si="8"/>
        <v>0</v>
      </c>
      <c r="AB44">
        <f t="shared" si="9"/>
        <v>0</v>
      </c>
    </row>
    <row r="45" spans="1:28" x14ac:dyDescent="0.2">
      <c r="A45" s="27">
        <f t="shared" si="10"/>
        <v>24</v>
      </c>
      <c r="B45" s="30">
        <f t="shared" ref="B45:U45" si="13">B15*B15</f>
        <v>0</v>
      </c>
      <c r="C45" s="30">
        <f t="shared" si="13"/>
        <v>0</v>
      </c>
      <c r="D45" s="30">
        <f t="shared" si="13"/>
        <v>0</v>
      </c>
      <c r="E45" s="30">
        <f t="shared" si="13"/>
        <v>0</v>
      </c>
      <c r="F45" s="30">
        <f t="shared" si="13"/>
        <v>0</v>
      </c>
      <c r="G45" s="30">
        <f t="shared" si="13"/>
        <v>0</v>
      </c>
      <c r="H45" s="30">
        <f t="shared" si="13"/>
        <v>0</v>
      </c>
      <c r="I45" s="30">
        <f t="shared" si="13"/>
        <v>0</v>
      </c>
      <c r="J45" s="30">
        <f t="shared" si="13"/>
        <v>0</v>
      </c>
      <c r="K45" s="30">
        <f t="shared" si="13"/>
        <v>0</v>
      </c>
      <c r="L45" s="30">
        <f t="shared" si="13"/>
        <v>0</v>
      </c>
      <c r="M45" s="30">
        <f t="shared" si="13"/>
        <v>0</v>
      </c>
      <c r="N45" s="30">
        <f t="shared" si="13"/>
        <v>0</v>
      </c>
      <c r="O45" s="30">
        <f t="shared" si="13"/>
        <v>0</v>
      </c>
      <c r="P45" s="30">
        <f t="shared" si="13"/>
        <v>0</v>
      </c>
      <c r="Q45" s="30">
        <f t="shared" si="13"/>
        <v>0</v>
      </c>
      <c r="R45" s="30">
        <f t="shared" si="13"/>
        <v>0</v>
      </c>
      <c r="S45" s="30">
        <f t="shared" si="13"/>
        <v>0</v>
      </c>
      <c r="T45" s="30">
        <f t="shared" si="13"/>
        <v>0</v>
      </c>
      <c r="U45" s="30">
        <f t="shared" si="13"/>
        <v>0</v>
      </c>
      <c r="V45">
        <f t="shared" si="5"/>
        <v>0</v>
      </c>
      <c r="W45">
        <f t="shared" si="6"/>
        <v>0</v>
      </c>
      <c r="X45">
        <f>L4*(L4-1)</f>
        <v>380</v>
      </c>
      <c r="Y45">
        <f>L4*V45-W45</f>
        <v>0</v>
      </c>
      <c r="Z45">
        <f t="shared" si="7"/>
        <v>0</v>
      </c>
      <c r="AA45">
        <f t="shared" si="8"/>
        <v>0</v>
      </c>
      <c r="AB45">
        <f t="shared" si="9"/>
        <v>0</v>
      </c>
    </row>
    <row r="46" spans="1:28" x14ac:dyDescent="0.2">
      <c r="A46" s="27">
        <f t="shared" si="10"/>
        <v>25</v>
      </c>
      <c r="B46" s="30">
        <f t="shared" ref="B46:U46" si="14">B16*B16</f>
        <v>0</v>
      </c>
      <c r="C46" s="30">
        <f t="shared" si="14"/>
        <v>0</v>
      </c>
      <c r="D46" s="30">
        <f t="shared" si="14"/>
        <v>0</v>
      </c>
      <c r="E46" s="30">
        <f t="shared" si="14"/>
        <v>0</v>
      </c>
      <c r="F46" s="30">
        <f t="shared" si="14"/>
        <v>0</v>
      </c>
      <c r="G46" s="30">
        <f t="shared" si="14"/>
        <v>0</v>
      </c>
      <c r="H46" s="30">
        <f t="shared" si="14"/>
        <v>0</v>
      </c>
      <c r="I46" s="30">
        <f t="shared" si="14"/>
        <v>0</v>
      </c>
      <c r="J46" s="30">
        <f t="shared" si="14"/>
        <v>0</v>
      </c>
      <c r="K46" s="30">
        <f t="shared" si="14"/>
        <v>0</v>
      </c>
      <c r="L46" s="30">
        <f t="shared" si="14"/>
        <v>0</v>
      </c>
      <c r="M46" s="30">
        <f t="shared" si="14"/>
        <v>0</v>
      </c>
      <c r="N46" s="30">
        <f t="shared" si="14"/>
        <v>0</v>
      </c>
      <c r="O46" s="30">
        <f t="shared" si="14"/>
        <v>0</v>
      </c>
      <c r="P46" s="30">
        <f t="shared" si="14"/>
        <v>0</v>
      </c>
      <c r="Q46" s="30">
        <f t="shared" si="14"/>
        <v>0</v>
      </c>
      <c r="R46" s="30">
        <f t="shared" si="14"/>
        <v>0</v>
      </c>
      <c r="S46" s="30">
        <f t="shared" si="14"/>
        <v>0</v>
      </c>
      <c r="T46" s="30">
        <f t="shared" si="14"/>
        <v>0</v>
      </c>
      <c r="U46" s="30">
        <f t="shared" si="14"/>
        <v>0</v>
      </c>
      <c r="V46">
        <f t="shared" si="5"/>
        <v>0</v>
      </c>
      <c r="W46">
        <f t="shared" si="6"/>
        <v>0</v>
      </c>
      <c r="X46">
        <f>L4*(L4-1)</f>
        <v>380</v>
      </c>
      <c r="Y46">
        <f>L4*V46-W46</f>
        <v>0</v>
      </c>
      <c r="Z46">
        <f t="shared" si="7"/>
        <v>0</v>
      </c>
      <c r="AA46">
        <f t="shared" si="8"/>
        <v>0</v>
      </c>
      <c r="AB46">
        <f t="shared" si="9"/>
        <v>0</v>
      </c>
    </row>
    <row r="47" spans="1:28" x14ac:dyDescent="0.2">
      <c r="A47" s="27">
        <f t="shared" si="10"/>
        <v>26</v>
      </c>
      <c r="B47" s="30">
        <f t="shared" ref="B47:U47" si="15">B17*B17</f>
        <v>0</v>
      </c>
      <c r="C47" s="30">
        <f t="shared" si="15"/>
        <v>0</v>
      </c>
      <c r="D47" s="30">
        <f t="shared" si="15"/>
        <v>0</v>
      </c>
      <c r="E47" s="30">
        <f t="shared" si="15"/>
        <v>0</v>
      </c>
      <c r="F47" s="30">
        <f t="shared" si="15"/>
        <v>0</v>
      </c>
      <c r="G47" s="30">
        <f t="shared" si="15"/>
        <v>0</v>
      </c>
      <c r="H47" s="30">
        <f t="shared" si="15"/>
        <v>0</v>
      </c>
      <c r="I47" s="30">
        <f t="shared" si="15"/>
        <v>0</v>
      </c>
      <c r="J47" s="30">
        <f t="shared" si="15"/>
        <v>0</v>
      </c>
      <c r="K47" s="30">
        <f t="shared" si="15"/>
        <v>0</v>
      </c>
      <c r="L47" s="30">
        <f t="shared" si="15"/>
        <v>0</v>
      </c>
      <c r="M47" s="30">
        <f t="shared" si="15"/>
        <v>0</v>
      </c>
      <c r="N47" s="30">
        <f t="shared" si="15"/>
        <v>0</v>
      </c>
      <c r="O47" s="30">
        <f t="shared" si="15"/>
        <v>0</v>
      </c>
      <c r="P47" s="30">
        <f t="shared" si="15"/>
        <v>0</v>
      </c>
      <c r="Q47" s="30">
        <f t="shared" si="15"/>
        <v>0</v>
      </c>
      <c r="R47" s="30">
        <f t="shared" si="15"/>
        <v>0</v>
      </c>
      <c r="S47" s="30">
        <f t="shared" si="15"/>
        <v>0</v>
      </c>
      <c r="T47" s="30">
        <f t="shared" si="15"/>
        <v>0</v>
      </c>
      <c r="U47" s="30">
        <f t="shared" si="15"/>
        <v>0</v>
      </c>
      <c r="V47">
        <f t="shared" si="5"/>
        <v>0</v>
      </c>
      <c r="W47">
        <f t="shared" si="6"/>
        <v>0</v>
      </c>
      <c r="X47">
        <f>L4*(L4-1)</f>
        <v>380</v>
      </c>
      <c r="Y47">
        <f>L4*V47-W47</f>
        <v>0</v>
      </c>
      <c r="Z47">
        <f t="shared" si="7"/>
        <v>0</v>
      </c>
      <c r="AA47">
        <f t="shared" si="8"/>
        <v>0</v>
      </c>
      <c r="AB47">
        <f t="shared" si="9"/>
        <v>0</v>
      </c>
    </row>
    <row r="48" spans="1:28" x14ac:dyDescent="0.2">
      <c r="A48" s="27">
        <f t="shared" si="10"/>
        <v>27</v>
      </c>
      <c r="B48" s="30">
        <f t="shared" ref="B48:U48" si="16">B18*B18</f>
        <v>0</v>
      </c>
      <c r="C48" s="30">
        <f t="shared" si="16"/>
        <v>0</v>
      </c>
      <c r="D48" s="30">
        <f t="shared" si="16"/>
        <v>0</v>
      </c>
      <c r="E48" s="30">
        <f t="shared" si="16"/>
        <v>0</v>
      </c>
      <c r="F48" s="30">
        <f t="shared" si="16"/>
        <v>0</v>
      </c>
      <c r="G48" s="30">
        <f t="shared" si="16"/>
        <v>0</v>
      </c>
      <c r="H48" s="30">
        <f t="shared" si="16"/>
        <v>0</v>
      </c>
      <c r="I48" s="30">
        <f t="shared" si="16"/>
        <v>0</v>
      </c>
      <c r="J48" s="30">
        <f t="shared" si="16"/>
        <v>0</v>
      </c>
      <c r="K48" s="30">
        <f t="shared" si="16"/>
        <v>0</v>
      </c>
      <c r="L48" s="30">
        <f t="shared" si="16"/>
        <v>0</v>
      </c>
      <c r="M48" s="30">
        <f t="shared" si="16"/>
        <v>0</v>
      </c>
      <c r="N48" s="30">
        <f t="shared" si="16"/>
        <v>0</v>
      </c>
      <c r="O48" s="30">
        <f t="shared" si="16"/>
        <v>0</v>
      </c>
      <c r="P48" s="30">
        <f t="shared" si="16"/>
        <v>0</v>
      </c>
      <c r="Q48" s="30">
        <f t="shared" si="16"/>
        <v>0</v>
      </c>
      <c r="R48" s="30">
        <f t="shared" si="16"/>
        <v>0</v>
      </c>
      <c r="S48" s="30">
        <f t="shared" si="16"/>
        <v>0</v>
      </c>
      <c r="T48" s="30">
        <f t="shared" si="16"/>
        <v>0</v>
      </c>
      <c r="U48" s="30">
        <f t="shared" si="16"/>
        <v>0</v>
      </c>
      <c r="V48">
        <f t="shared" si="5"/>
        <v>0</v>
      </c>
      <c r="W48">
        <f t="shared" si="6"/>
        <v>0</v>
      </c>
      <c r="X48">
        <f>L4*(L4-1)</f>
        <v>380</v>
      </c>
      <c r="Y48">
        <f>L4*V48-W48</f>
        <v>0</v>
      </c>
      <c r="Z48">
        <f t="shared" si="7"/>
        <v>0</v>
      </c>
      <c r="AA48">
        <f t="shared" si="8"/>
        <v>0</v>
      </c>
      <c r="AB48">
        <f t="shared" si="9"/>
        <v>0</v>
      </c>
    </row>
    <row r="49" spans="1:28" x14ac:dyDescent="0.2">
      <c r="A49" s="27">
        <f t="shared" si="10"/>
        <v>28</v>
      </c>
      <c r="B49" s="30">
        <f t="shared" ref="B49:U49" si="17">B19*B19</f>
        <v>0</v>
      </c>
      <c r="C49" s="30">
        <f t="shared" si="17"/>
        <v>0</v>
      </c>
      <c r="D49" s="30">
        <f t="shared" si="17"/>
        <v>0</v>
      </c>
      <c r="E49" s="30">
        <f t="shared" si="17"/>
        <v>0</v>
      </c>
      <c r="F49" s="30">
        <f t="shared" si="17"/>
        <v>0</v>
      </c>
      <c r="G49" s="30">
        <f t="shared" si="17"/>
        <v>0</v>
      </c>
      <c r="H49" s="30">
        <f t="shared" si="17"/>
        <v>0</v>
      </c>
      <c r="I49" s="30">
        <f t="shared" si="17"/>
        <v>0</v>
      </c>
      <c r="J49" s="30">
        <f t="shared" si="17"/>
        <v>0</v>
      </c>
      <c r="K49" s="30">
        <f t="shared" si="17"/>
        <v>0</v>
      </c>
      <c r="L49" s="30">
        <f t="shared" si="17"/>
        <v>0</v>
      </c>
      <c r="M49" s="30">
        <f t="shared" si="17"/>
        <v>0</v>
      </c>
      <c r="N49" s="30">
        <f t="shared" si="17"/>
        <v>0</v>
      </c>
      <c r="O49" s="30">
        <f t="shared" si="17"/>
        <v>0</v>
      </c>
      <c r="P49" s="30">
        <f t="shared" si="17"/>
        <v>0</v>
      </c>
      <c r="Q49" s="30">
        <f t="shared" si="17"/>
        <v>0</v>
      </c>
      <c r="R49" s="30">
        <f t="shared" si="17"/>
        <v>0</v>
      </c>
      <c r="S49" s="30">
        <f t="shared" si="17"/>
        <v>0</v>
      </c>
      <c r="T49" s="30">
        <f t="shared" si="17"/>
        <v>0</v>
      </c>
      <c r="U49" s="30">
        <f t="shared" si="17"/>
        <v>0</v>
      </c>
      <c r="V49">
        <f t="shared" si="5"/>
        <v>0</v>
      </c>
      <c r="W49">
        <f t="shared" si="6"/>
        <v>0</v>
      </c>
      <c r="X49">
        <f>L4*(L4-1)</f>
        <v>380</v>
      </c>
      <c r="Y49">
        <f>L4*V49-W49</f>
        <v>0</v>
      </c>
      <c r="Z49">
        <f t="shared" si="7"/>
        <v>0</v>
      </c>
      <c r="AA49">
        <f t="shared" si="8"/>
        <v>0</v>
      </c>
      <c r="AB49">
        <f t="shared" si="9"/>
        <v>0</v>
      </c>
    </row>
    <row r="50" spans="1:28" x14ac:dyDescent="0.2">
      <c r="A50" s="27">
        <f t="shared" si="10"/>
        <v>29</v>
      </c>
      <c r="B50" s="30">
        <f t="shared" ref="B50:U50" si="18">B20*B20</f>
        <v>0</v>
      </c>
      <c r="C50" s="30">
        <f t="shared" si="18"/>
        <v>0</v>
      </c>
      <c r="D50" s="30">
        <f t="shared" si="18"/>
        <v>0</v>
      </c>
      <c r="E50" s="30">
        <f t="shared" si="18"/>
        <v>0</v>
      </c>
      <c r="F50" s="30">
        <f t="shared" si="18"/>
        <v>0</v>
      </c>
      <c r="G50" s="30">
        <f t="shared" si="18"/>
        <v>0</v>
      </c>
      <c r="H50" s="30">
        <f t="shared" si="18"/>
        <v>0</v>
      </c>
      <c r="I50" s="30">
        <f t="shared" si="18"/>
        <v>0</v>
      </c>
      <c r="J50" s="30">
        <f t="shared" si="18"/>
        <v>0</v>
      </c>
      <c r="K50" s="30">
        <f t="shared" si="18"/>
        <v>0</v>
      </c>
      <c r="L50" s="30">
        <f t="shared" si="18"/>
        <v>0</v>
      </c>
      <c r="M50" s="30">
        <f t="shared" si="18"/>
        <v>0</v>
      </c>
      <c r="N50" s="30">
        <f t="shared" si="18"/>
        <v>0</v>
      </c>
      <c r="O50" s="30">
        <f t="shared" si="18"/>
        <v>0</v>
      </c>
      <c r="P50" s="30">
        <f t="shared" si="18"/>
        <v>0</v>
      </c>
      <c r="Q50" s="30">
        <f t="shared" si="18"/>
        <v>0</v>
      </c>
      <c r="R50" s="30">
        <f t="shared" si="18"/>
        <v>0</v>
      </c>
      <c r="S50" s="30">
        <f t="shared" si="18"/>
        <v>0</v>
      </c>
      <c r="T50" s="30">
        <f t="shared" si="18"/>
        <v>0</v>
      </c>
      <c r="U50" s="30">
        <f t="shared" si="18"/>
        <v>0</v>
      </c>
      <c r="V50">
        <f t="shared" si="5"/>
        <v>0</v>
      </c>
      <c r="W50">
        <f t="shared" si="6"/>
        <v>0</v>
      </c>
      <c r="X50">
        <f>L4*(L4-1)</f>
        <v>380</v>
      </c>
      <c r="Y50">
        <f>L4*V50-W50</f>
        <v>0</v>
      </c>
      <c r="Z50">
        <f t="shared" si="7"/>
        <v>0</v>
      </c>
      <c r="AA50">
        <f t="shared" si="8"/>
        <v>0</v>
      </c>
      <c r="AB50">
        <f t="shared" si="9"/>
        <v>0</v>
      </c>
    </row>
    <row r="51" spans="1:28" x14ac:dyDescent="0.2">
      <c r="A51" s="27">
        <f t="shared" si="10"/>
        <v>30</v>
      </c>
      <c r="B51" s="30">
        <f t="shared" ref="B51:U51" si="19">B21*B21</f>
        <v>0</v>
      </c>
      <c r="C51" s="30">
        <f t="shared" si="19"/>
        <v>0</v>
      </c>
      <c r="D51" s="30">
        <f t="shared" si="19"/>
        <v>0</v>
      </c>
      <c r="E51" s="30">
        <f t="shared" si="19"/>
        <v>0</v>
      </c>
      <c r="F51" s="30">
        <f t="shared" si="19"/>
        <v>0</v>
      </c>
      <c r="G51" s="30">
        <f t="shared" si="19"/>
        <v>0</v>
      </c>
      <c r="H51" s="30">
        <f t="shared" si="19"/>
        <v>0</v>
      </c>
      <c r="I51" s="30">
        <f t="shared" si="19"/>
        <v>0</v>
      </c>
      <c r="J51" s="30">
        <f t="shared" si="19"/>
        <v>0</v>
      </c>
      <c r="K51" s="30">
        <f t="shared" si="19"/>
        <v>0</v>
      </c>
      <c r="L51" s="30">
        <f t="shared" si="19"/>
        <v>0</v>
      </c>
      <c r="M51" s="30">
        <f t="shared" si="19"/>
        <v>0</v>
      </c>
      <c r="N51" s="30">
        <f t="shared" si="19"/>
        <v>0</v>
      </c>
      <c r="O51" s="30">
        <f t="shared" si="19"/>
        <v>0</v>
      </c>
      <c r="P51" s="30">
        <f t="shared" si="19"/>
        <v>0</v>
      </c>
      <c r="Q51" s="30">
        <f t="shared" si="19"/>
        <v>0</v>
      </c>
      <c r="R51" s="30">
        <f t="shared" si="19"/>
        <v>0</v>
      </c>
      <c r="S51" s="30">
        <f t="shared" si="19"/>
        <v>0</v>
      </c>
      <c r="T51" s="30">
        <f t="shared" si="19"/>
        <v>0</v>
      </c>
      <c r="U51" s="30">
        <f t="shared" si="19"/>
        <v>0</v>
      </c>
      <c r="V51">
        <f t="shared" si="5"/>
        <v>0</v>
      </c>
      <c r="W51">
        <f t="shared" si="6"/>
        <v>0</v>
      </c>
      <c r="X51">
        <f>L4*(L4-1)</f>
        <v>380</v>
      </c>
      <c r="Y51">
        <f>L4*V51-W51</f>
        <v>0</v>
      </c>
      <c r="Z51">
        <f t="shared" si="7"/>
        <v>0</v>
      </c>
      <c r="AA51">
        <f t="shared" si="8"/>
        <v>0</v>
      </c>
      <c r="AB51">
        <f t="shared" si="9"/>
        <v>0</v>
      </c>
    </row>
    <row r="52" spans="1:28" x14ac:dyDescent="0.2">
      <c r="A52" s="27"/>
      <c r="B52" s="30"/>
      <c r="C52" s="30"/>
      <c r="D52" s="30"/>
      <c r="E52" s="30"/>
      <c r="F52" s="30"/>
      <c r="G52" s="30"/>
      <c r="H52" s="30"/>
      <c r="I52" s="30"/>
      <c r="J52" s="30"/>
      <c r="K52" s="30"/>
      <c r="L52" s="30"/>
      <c r="M52" s="30"/>
      <c r="N52" s="30"/>
      <c r="O52" s="30"/>
      <c r="P52" s="30"/>
      <c r="Q52" s="30"/>
      <c r="R52" s="30"/>
      <c r="S52" s="30"/>
      <c r="T52" s="30"/>
      <c r="U52" s="30"/>
    </row>
    <row r="53" spans="1:28" x14ac:dyDescent="0.2">
      <c r="A53" s="27"/>
      <c r="B53" s="30"/>
      <c r="C53" s="30"/>
      <c r="D53" s="30"/>
      <c r="E53" s="30"/>
      <c r="F53" s="30"/>
      <c r="G53" s="30"/>
      <c r="H53" s="30"/>
      <c r="I53" s="30"/>
      <c r="J53" s="30"/>
      <c r="K53" s="30"/>
      <c r="L53" s="30"/>
      <c r="M53" s="30"/>
      <c r="N53" s="30"/>
      <c r="O53" s="30"/>
      <c r="P53" s="30"/>
      <c r="Q53" s="30"/>
      <c r="R53" s="30"/>
      <c r="S53" s="30"/>
      <c r="T53" s="30"/>
      <c r="U53" s="30"/>
    </row>
    <row r="54" spans="1:28" x14ac:dyDescent="0.2">
      <c r="A54" s="27"/>
      <c r="B54" s="30"/>
      <c r="C54" s="30"/>
      <c r="D54" s="30"/>
      <c r="E54" s="30"/>
      <c r="F54" s="30"/>
      <c r="G54" s="30"/>
      <c r="H54" s="30"/>
      <c r="I54" s="30"/>
      <c r="J54" s="30"/>
      <c r="K54" s="30"/>
      <c r="L54" s="30"/>
      <c r="M54" s="30"/>
      <c r="N54" s="30"/>
      <c r="O54" s="30"/>
      <c r="P54" s="30"/>
      <c r="Q54" s="30"/>
      <c r="R54" s="30"/>
      <c r="S54" s="30"/>
      <c r="T54" s="30"/>
      <c r="U54" s="30"/>
    </row>
  </sheetData>
  <pageMargins left="0.78740157499999996" right="0.78740157499999996" top="0.984251969" bottom="0.984251969" header="0.5" footer="0.5"/>
  <pageSetup paperSize="9" orientation="landscape"/>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A1:AB55"/>
  <sheetViews>
    <sheetView workbookViewId="0">
      <selection activeCell="W2" sqref="W2:AB7"/>
    </sheetView>
  </sheetViews>
  <sheetFormatPr baseColWidth="10" defaultColWidth="8.85546875" defaultRowHeight="12.75" x14ac:dyDescent="0.2"/>
  <cols>
    <col min="1" max="1" width="6.28515625" customWidth="1"/>
    <col min="2" max="21" width="3.7109375" customWidth="1"/>
    <col min="22" max="22" width="7.85546875" customWidth="1"/>
    <col min="23" max="23" width="10.7109375" bestFit="1" customWidth="1"/>
    <col min="24" max="24" width="8.85546875" customWidth="1"/>
    <col min="25" max="25" width="6.85546875" customWidth="1"/>
    <col min="26" max="26" width="16.42578125" customWidth="1"/>
  </cols>
  <sheetData>
    <row r="1" spans="1:28" ht="18" x14ac:dyDescent="0.25">
      <c r="A1" s="1" t="s">
        <v>11</v>
      </c>
    </row>
    <row r="2" spans="1:28" x14ac:dyDescent="0.2">
      <c r="L2" s="25" t="s">
        <v>61</v>
      </c>
      <c r="M2" s="4"/>
      <c r="N2" s="4"/>
      <c r="O2" s="4"/>
      <c r="P2" s="4"/>
      <c r="Q2" s="4"/>
      <c r="R2" s="4"/>
      <c r="S2" s="4"/>
      <c r="T2" s="4"/>
      <c r="U2" s="5"/>
      <c r="W2" s="25"/>
      <c r="X2" s="4"/>
      <c r="Y2" s="4"/>
      <c r="Z2" s="4"/>
      <c r="AA2" s="4"/>
      <c r="AB2" s="5"/>
    </row>
    <row r="3" spans="1:28" ht="13.5" thickBot="1" x14ac:dyDescent="0.25">
      <c r="B3" s="3" t="s">
        <v>32</v>
      </c>
      <c r="C3" s="7"/>
      <c r="D3" s="7"/>
      <c r="G3" s="7"/>
      <c r="H3" s="7"/>
      <c r="I3" s="7"/>
      <c r="J3" s="7"/>
      <c r="K3" s="7"/>
      <c r="L3" s="47" t="s">
        <v>62</v>
      </c>
      <c r="M3" s="7"/>
      <c r="N3" s="7"/>
      <c r="O3" s="7"/>
      <c r="P3" s="21">
        <f>V28*V28</f>
        <v>0</v>
      </c>
      <c r="Q3" s="40" t="s">
        <v>13</v>
      </c>
      <c r="S3" s="7"/>
      <c r="T3" s="7"/>
      <c r="U3" s="8"/>
      <c r="W3" s="33"/>
      <c r="X3" s="7"/>
      <c r="Y3" s="7"/>
      <c r="Z3" s="7"/>
      <c r="AA3" s="7"/>
      <c r="AB3" s="8"/>
    </row>
    <row r="4" spans="1:28" x14ac:dyDescent="0.2">
      <c r="A4" s="22">
        <f>(P8/L6)*100</f>
        <v>0</v>
      </c>
      <c r="B4" s="13" t="s">
        <v>51</v>
      </c>
      <c r="C4" s="14"/>
      <c r="D4" s="14"/>
      <c r="E4" s="14"/>
      <c r="F4" s="15"/>
      <c r="G4" s="15"/>
      <c r="H4" s="15"/>
      <c r="I4" s="15"/>
      <c r="J4" s="16"/>
      <c r="K4" s="7"/>
      <c r="L4" s="60">
        <f>Aperçu!N2</f>
        <v>20</v>
      </c>
      <c r="M4" s="7"/>
      <c r="N4" s="7"/>
      <c r="O4" s="7"/>
      <c r="P4" s="6">
        <f>L4*(L4-1)</f>
        <v>380</v>
      </c>
      <c r="Q4" s="40" t="s">
        <v>14</v>
      </c>
      <c r="S4" s="7"/>
      <c r="T4" s="7"/>
      <c r="U4" s="8"/>
      <c r="W4" s="33"/>
      <c r="X4" s="7"/>
      <c r="Y4" s="7"/>
      <c r="Z4" s="7"/>
      <c r="AA4" s="7"/>
      <c r="AB4" s="8"/>
    </row>
    <row r="5" spans="1:28" ht="13.5" thickBot="1" x14ac:dyDescent="0.25">
      <c r="A5" s="23">
        <f>100-(P9*2)</f>
        <v>100</v>
      </c>
      <c r="B5" s="17" t="s">
        <v>52</v>
      </c>
      <c r="C5" s="18"/>
      <c r="D5" s="18"/>
      <c r="E5" s="18"/>
      <c r="F5" s="19"/>
      <c r="G5" s="19"/>
      <c r="H5" s="19"/>
      <c r="I5" s="19"/>
      <c r="J5" s="20"/>
      <c r="K5" s="7"/>
      <c r="L5" s="47" t="s">
        <v>81</v>
      </c>
      <c r="M5" s="7"/>
      <c r="N5" s="7"/>
      <c r="O5" s="7"/>
      <c r="P5" s="21">
        <f>(L4*V29)-P3</f>
        <v>0</v>
      </c>
      <c r="Q5" s="40" t="s">
        <v>124</v>
      </c>
      <c r="S5" s="7"/>
      <c r="T5" s="7"/>
      <c r="U5" s="8"/>
      <c r="W5" s="33"/>
      <c r="X5" s="7"/>
      <c r="Y5" s="7"/>
      <c r="Z5" s="7"/>
      <c r="AA5" s="7"/>
      <c r="AB5" s="8"/>
    </row>
    <row r="6" spans="1:28" x14ac:dyDescent="0.2">
      <c r="K6" s="7"/>
      <c r="L6" s="60">
        <f>10*5</f>
        <v>50</v>
      </c>
      <c r="M6" s="7"/>
      <c r="N6" s="9"/>
      <c r="O6" s="7"/>
      <c r="P6" s="6">
        <f>P5/P4</f>
        <v>0</v>
      </c>
      <c r="Q6" s="40" t="s">
        <v>15</v>
      </c>
      <c r="S6" s="7"/>
      <c r="T6" s="7"/>
      <c r="U6" s="8"/>
      <c r="W6" s="33"/>
      <c r="X6" s="7"/>
      <c r="Y6" s="7"/>
      <c r="Z6" s="7"/>
      <c r="AA6" s="7"/>
      <c r="AB6" s="8"/>
    </row>
    <row r="7" spans="1:28" x14ac:dyDescent="0.2">
      <c r="C7" s="7"/>
      <c r="D7" s="7"/>
      <c r="G7" s="7"/>
      <c r="H7" s="7"/>
      <c r="I7" s="7"/>
      <c r="J7" s="7"/>
      <c r="K7" s="7"/>
      <c r="L7" s="47" t="s">
        <v>64</v>
      </c>
      <c r="M7" s="7"/>
      <c r="N7" s="9"/>
      <c r="O7" s="7"/>
      <c r="P7" s="6">
        <f>SQRT(P6)</f>
        <v>0</v>
      </c>
      <c r="Q7" s="40" t="s">
        <v>16</v>
      </c>
      <c r="S7" s="7"/>
      <c r="T7" s="7"/>
      <c r="U7" s="8"/>
      <c r="W7" s="46"/>
      <c r="X7" s="11"/>
      <c r="Y7" s="11"/>
      <c r="Z7" s="11"/>
      <c r="AA7" s="11"/>
      <c r="AB7" s="12"/>
    </row>
    <row r="8" spans="1:28" x14ac:dyDescent="0.2">
      <c r="C8" s="7"/>
      <c r="D8" s="7"/>
      <c r="G8" s="7"/>
      <c r="H8" s="7"/>
      <c r="I8" s="7"/>
      <c r="J8" s="7"/>
      <c r="L8" s="60">
        <v>10</v>
      </c>
      <c r="M8" s="7"/>
      <c r="N8" s="7"/>
      <c r="O8" s="7"/>
      <c r="P8" s="7">
        <f>V28/L4</f>
        <v>0</v>
      </c>
      <c r="Q8" s="40" t="s">
        <v>53</v>
      </c>
      <c r="R8" s="7"/>
      <c r="S8" s="7"/>
      <c r="T8" s="7"/>
      <c r="U8" s="8"/>
    </row>
    <row r="9" spans="1:28" x14ac:dyDescent="0.2">
      <c r="L9" s="10"/>
      <c r="M9" s="11"/>
      <c r="N9" s="11"/>
      <c r="O9" s="11"/>
      <c r="P9" s="11">
        <f>P7/((L8*5)-(L8*1))*100</f>
        <v>0</v>
      </c>
      <c r="Q9" s="41" t="s">
        <v>82</v>
      </c>
      <c r="R9" s="11"/>
      <c r="S9" s="11"/>
      <c r="T9" s="11"/>
      <c r="U9" s="12"/>
    </row>
    <row r="10" spans="1:28" x14ac:dyDescent="0.2">
      <c r="A10" s="3"/>
      <c r="B10" s="84" t="s">
        <v>199</v>
      </c>
      <c r="C10" s="84"/>
      <c r="D10" s="84"/>
      <c r="E10" s="84"/>
      <c r="F10" s="84"/>
      <c r="G10" s="84"/>
      <c r="H10" s="84"/>
      <c r="I10" s="84"/>
      <c r="J10" s="84"/>
      <c r="K10" s="84"/>
      <c r="L10" s="84"/>
      <c r="M10" s="84"/>
      <c r="N10" s="84"/>
      <c r="O10" s="84"/>
      <c r="P10" s="84"/>
      <c r="Q10" s="84"/>
      <c r="R10" s="84"/>
      <c r="S10" s="84"/>
      <c r="T10" s="84"/>
      <c r="U10" s="84"/>
      <c r="W10" s="25" t="s">
        <v>83</v>
      </c>
      <c r="X10" s="35"/>
      <c r="Y10" s="4"/>
      <c r="Z10" s="4"/>
      <c r="AA10" s="4"/>
      <c r="AB10" s="5"/>
    </row>
    <row r="11" spans="1:28" x14ac:dyDescent="0.2">
      <c r="A11" s="89" t="s">
        <v>200</v>
      </c>
      <c r="B11" s="27">
        <v>1</v>
      </c>
      <c r="C11" s="27">
        <v>2</v>
      </c>
      <c r="D11" s="27">
        <v>3</v>
      </c>
      <c r="E11" s="27">
        <v>4</v>
      </c>
      <c r="F11" s="27">
        <v>5</v>
      </c>
      <c r="G11" s="27">
        <v>6</v>
      </c>
      <c r="H11" s="27">
        <v>7</v>
      </c>
      <c r="I11" s="27">
        <v>8</v>
      </c>
      <c r="J11" s="27">
        <v>9</v>
      </c>
      <c r="K11" s="27">
        <v>10</v>
      </c>
      <c r="L11" s="27">
        <v>11</v>
      </c>
      <c r="M11" s="27">
        <v>12</v>
      </c>
      <c r="N11" s="27">
        <v>13</v>
      </c>
      <c r="O11" s="27">
        <v>14</v>
      </c>
      <c r="P11" s="27">
        <v>15</v>
      </c>
      <c r="Q11" s="27">
        <v>16</v>
      </c>
      <c r="R11" s="27">
        <v>17</v>
      </c>
      <c r="S11" s="27">
        <v>18</v>
      </c>
      <c r="T11" s="27">
        <v>19</v>
      </c>
      <c r="U11" s="27">
        <v>20</v>
      </c>
      <c r="V11" s="90" t="s">
        <v>68</v>
      </c>
      <c r="W11" s="26" t="s">
        <v>33</v>
      </c>
      <c r="X11" s="9" t="s">
        <v>34</v>
      </c>
      <c r="Y11" s="34" t="s">
        <v>67</v>
      </c>
      <c r="Z11" s="7"/>
      <c r="AA11" s="7"/>
      <c r="AB11" s="8"/>
    </row>
    <row r="12" spans="1:28" x14ac:dyDescent="0.2">
      <c r="A12" s="27">
        <v>31</v>
      </c>
      <c r="B12" s="30"/>
      <c r="C12" s="30"/>
      <c r="D12" s="30"/>
      <c r="E12" s="30"/>
      <c r="F12" s="30"/>
      <c r="G12" s="30"/>
      <c r="H12" s="30"/>
      <c r="I12" s="30"/>
      <c r="J12" s="30"/>
      <c r="K12" s="30"/>
      <c r="L12" s="30"/>
      <c r="M12" s="30"/>
      <c r="N12" s="30"/>
      <c r="O12" s="30"/>
      <c r="P12" s="30"/>
      <c r="Q12" s="30"/>
      <c r="R12" s="30"/>
      <c r="S12" s="30"/>
      <c r="T12" s="30"/>
      <c r="U12" s="30"/>
      <c r="V12" s="30">
        <f t="shared" ref="V12:V29" si="0">SUM(B12:U12)</f>
        <v>0</v>
      </c>
      <c r="W12" s="36">
        <f>V12/L4*20</f>
        <v>0</v>
      </c>
      <c r="X12" s="37">
        <f t="shared" ref="X12:X21" si="1">100-(AB40*2)</f>
        <v>100</v>
      </c>
      <c r="Y12" s="68" t="s">
        <v>181</v>
      </c>
      <c r="Z12" s="7"/>
      <c r="AA12" s="7"/>
      <c r="AB12" s="8"/>
    </row>
    <row r="13" spans="1:28" x14ac:dyDescent="0.2">
      <c r="A13" s="27">
        <v>32</v>
      </c>
      <c r="B13" s="30"/>
      <c r="C13" s="30"/>
      <c r="D13" s="30"/>
      <c r="E13" s="30"/>
      <c r="F13" s="30"/>
      <c r="G13" s="30"/>
      <c r="H13" s="30"/>
      <c r="I13" s="30"/>
      <c r="J13" s="30"/>
      <c r="K13" s="30"/>
      <c r="L13" s="30"/>
      <c r="M13" s="30"/>
      <c r="N13" s="30"/>
      <c r="O13" s="30"/>
      <c r="P13" s="30"/>
      <c r="Q13" s="30"/>
      <c r="R13" s="30"/>
      <c r="S13" s="30"/>
      <c r="T13" s="30"/>
      <c r="U13" s="30"/>
      <c r="V13" s="30">
        <f t="shared" si="0"/>
        <v>0</v>
      </c>
      <c r="W13" s="36">
        <f>V13/L4*20</f>
        <v>0</v>
      </c>
      <c r="X13" s="37">
        <f t="shared" si="1"/>
        <v>100</v>
      </c>
      <c r="Y13" s="68" t="s">
        <v>182</v>
      </c>
      <c r="Z13" s="7"/>
      <c r="AA13" s="7"/>
      <c r="AB13" s="8"/>
    </row>
    <row r="14" spans="1:28" x14ac:dyDescent="0.2">
      <c r="A14" s="27">
        <v>33</v>
      </c>
      <c r="B14" s="30"/>
      <c r="C14" s="30"/>
      <c r="D14" s="30"/>
      <c r="E14" s="30"/>
      <c r="F14" s="30"/>
      <c r="G14" s="30"/>
      <c r="H14" s="30"/>
      <c r="I14" s="30"/>
      <c r="J14" s="30"/>
      <c r="K14" s="30"/>
      <c r="L14" s="30"/>
      <c r="M14" s="30"/>
      <c r="N14" s="30"/>
      <c r="O14" s="30"/>
      <c r="P14" s="30"/>
      <c r="Q14" s="30"/>
      <c r="R14" s="30"/>
      <c r="S14" s="30"/>
      <c r="T14" s="30"/>
      <c r="U14" s="30"/>
      <c r="V14" s="30">
        <f t="shared" si="0"/>
        <v>0</v>
      </c>
      <c r="W14" s="36">
        <f>V14/L4*20</f>
        <v>0</v>
      </c>
      <c r="X14" s="37">
        <f t="shared" si="1"/>
        <v>100</v>
      </c>
      <c r="Y14" s="68" t="s">
        <v>180</v>
      </c>
      <c r="Z14" s="7"/>
      <c r="AA14" s="7"/>
      <c r="AB14" s="8"/>
    </row>
    <row r="15" spans="1:28" x14ac:dyDescent="0.2">
      <c r="A15" s="27">
        <v>34</v>
      </c>
      <c r="B15" s="30"/>
      <c r="C15" s="30"/>
      <c r="D15" s="30"/>
      <c r="E15" s="30"/>
      <c r="F15" s="30"/>
      <c r="G15" s="30"/>
      <c r="H15" s="30"/>
      <c r="I15" s="30"/>
      <c r="J15" s="30"/>
      <c r="K15" s="30"/>
      <c r="L15" s="30"/>
      <c r="M15" s="30"/>
      <c r="N15" s="30"/>
      <c r="O15" s="30"/>
      <c r="P15" s="30"/>
      <c r="Q15" s="30"/>
      <c r="R15" s="30"/>
      <c r="S15" s="30"/>
      <c r="T15" s="30"/>
      <c r="U15" s="30"/>
      <c r="V15" s="30">
        <f t="shared" si="0"/>
        <v>0</v>
      </c>
      <c r="W15" s="36">
        <f>V15/L4*20</f>
        <v>0</v>
      </c>
      <c r="X15" s="37">
        <f t="shared" si="1"/>
        <v>100</v>
      </c>
      <c r="Y15" s="68" t="s">
        <v>186</v>
      </c>
      <c r="Z15" s="7"/>
      <c r="AA15" s="7"/>
      <c r="AB15" s="8"/>
    </row>
    <row r="16" spans="1:28" x14ac:dyDescent="0.2">
      <c r="A16" s="27">
        <v>35</v>
      </c>
      <c r="B16" s="30"/>
      <c r="C16" s="30"/>
      <c r="D16" s="30"/>
      <c r="E16" s="30"/>
      <c r="F16" s="30"/>
      <c r="G16" s="30"/>
      <c r="H16" s="30"/>
      <c r="I16" s="30"/>
      <c r="J16" s="30"/>
      <c r="K16" s="30"/>
      <c r="L16" s="30"/>
      <c r="M16" s="30"/>
      <c r="N16" s="30"/>
      <c r="O16" s="30"/>
      <c r="P16" s="30"/>
      <c r="Q16" s="30"/>
      <c r="R16" s="30"/>
      <c r="S16" s="30"/>
      <c r="T16" s="30"/>
      <c r="U16" s="30"/>
      <c r="V16" s="30">
        <f t="shared" si="0"/>
        <v>0</v>
      </c>
      <c r="W16" s="36">
        <f>V16/L4*20</f>
        <v>0</v>
      </c>
      <c r="X16" s="37">
        <f t="shared" si="1"/>
        <v>100</v>
      </c>
      <c r="Y16" s="68" t="s">
        <v>188</v>
      </c>
      <c r="Z16" s="7"/>
      <c r="AA16" s="7"/>
      <c r="AB16" s="8"/>
    </row>
    <row r="17" spans="1:28" x14ac:dyDescent="0.2">
      <c r="A17" s="27">
        <v>36</v>
      </c>
      <c r="B17" s="30"/>
      <c r="C17" s="30"/>
      <c r="D17" s="30"/>
      <c r="E17" s="30"/>
      <c r="F17" s="30"/>
      <c r="G17" s="30"/>
      <c r="H17" s="30"/>
      <c r="I17" s="30"/>
      <c r="J17" s="30"/>
      <c r="K17" s="30"/>
      <c r="L17" s="30"/>
      <c r="M17" s="30"/>
      <c r="N17" s="30"/>
      <c r="O17" s="30"/>
      <c r="P17" s="30"/>
      <c r="Q17" s="30"/>
      <c r="R17" s="30"/>
      <c r="S17" s="30"/>
      <c r="T17" s="30"/>
      <c r="U17" s="30"/>
      <c r="V17" s="30">
        <f t="shared" si="0"/>
        <v>0</v>
      </c>
      <c r="W17" s="36">
        <f>V17/L4*20</f>
        <v>0</v>
      </c>
      <c r="X17" s="37">
        <f t="shared" si="1"/>
        <v>100</v>
      </c>
      <c r="Y17" s="68" t="s">
        <v>183</v>
      </c>
      <c r="Z17" s="7"/>
      <c r="AA17" s="7"/>
      <c r="AB17" s="8"/>
    </row>
    <row r="18" spans="1:28" x14ac:dyDescent="0.2">
      <c r="A18" s="27">
        <v>37</v>
      </c>
      <c r="B18" s="30"/>
      <c r="C18" s="30"/>
      <c r="D18" s="30"/>
      <c r="E18" s="30"/>
      <c r="F18" s="30"/>
      <c r="G18" s="30"/>
      <c r="H18" s="30"/>
      <c r="I18" s="30"/>
      <c r="J18" s="30"/>
      <c r="K18" s="30"/>
      <c r="L18" s="30"/>
      <c r="M18" s="30"/>
      <c r="N18" s="30"/>
      <c r="O18" s="30"/>
      <c r="P18" s="30"/>
      <c r="Q18" s="30"/>
      <c r="R18" s="30"/>
      <c r="S18" s="30"/>
      <c r="T18" s="30"/>
      <c r="U18" s="30"/>
      <c r="V18" s="30">
        <f t="shared" si="0"/>
        <v>0</v>
      </c>
      <c r="W18" s="36">
        <f>V18/L4*20</f>
        <v>0</v>
      </c>
      <c r="X18" s="37">
        <f t="shared" si="1"/>
        <v>100</v>
      </c>
      <c r="Y18" s="68" t="s">
        <v>187</v>
      </c>
      <c r="Z18" s="7"/>
      <c r="AA18" s="7"/>
      <c r="AB18" s="8"/>
    </row>
    <row r="19" spans="1:28" x14ac:dyDescent="0.2">
      <c r="A19" s="27">
        <v>38</v>
      </c>
      <c r="B19" s="30"/>
      <c r="C19" s="30"/>
      <c r="D19" s="30"/>
      <c r="E19" s="30"/>
      <c r="F19" s="30"/>
      <c r="G19" s="30"/>
      <c r="H19" s="30"/>
      <c r="I19" s="30"/>
      <c r="J19" s="30"/>
      <c r="K19" s="30"/>
      <c r="L19" s="30"/>
      <c r="M19" s="30"/>
      <c r="N19" s="30"/>
      <c r="O19" s="30"/>
      <c r="P19" s="30"/>
      <c r="Q19" s="30"/>
      <c r="R19" s="30"/>
      <c r="S19" s="30"/>
      <c r="T19" s="30"/>
      <c r="U19" s="30"/>
      <c r="V19" s="30">
        <f t="shared" si="0"/>
        <v>0</v>
      </c>
      <c r="W19" s="36">
        <f>V19/L4*20</f>
        <v>0</v>
      </c>
      <c r="X19" s="37">
        <f t="shared" si="1"/>
        <v>100</v>
      </c>
      <c r="Y19" s="68" t="s">
        <v>184</v>
      </c>
      <c r="Z19" s="7"/>
      <c r="AA19" s="7"/>
      <c r="AB19" s="8"/>
    </row>
    <row r="20" spans="1:28" x14ac:dyDescent="0.2">
      <c r="A20" s="27">
        <v>39</v>
      </c>
      <c r="B20" s="30"/>
      <c r="C20" s="30"/>
      <c r="D20" s="30"/>
      <c r="E20" s="30"/>
      <c r="F20" s="30"/>
      <c r="G20" s="30"/>
      <c r="H20" s="30"/>
      <c r="I20" s="30"/>
      <c r="J20" s="30"/>
      <c r="K20" s="30"/>
      <c r="L20" s="30"/>
      <c r="M20" s="30"/>
      <c r="N20" s="30"/>
      <c r="O20" s="30"/>
      <c r="P20" s="30"/>
      <c r="Q20" s="30"/>
      <c r="R20" s="30"/>
      <c r="S20" s="30"/>
      <c r="T20" s="30"/>
      <c r="U20" s="30"/>
      <c r="V20" s="30">
        <f t="shared" si="0"/>
        <v>0</v>
      </c>
      <c r="W20" s="36">
        <f>V20/L4*20</f>
        <v>0</v>
      </c>
      <c r="X20" s="37">
        <f t="shared" si="1"/>
        <v>100</v>
      </c>
      <c r="Y20" s="68" t="s">
        <v>185</v>
      </c>
      <c r="Z20" s="7"/>
      <c r="AA20" s="7"/>
      <c r="AB20" s="8"/>
    </row>
    <row r="21" spans="1:28" x14ac:dyDescent="0.2">
      <c r="A21" s="27">
        <v>40</v>
      </c>
      <c r="B21" s="30"/>
      <c r="C21" s="30"/>
      <c r="D21" s="30"/>
      <c r="E21" s="30"/>
      <c r="F21" s="30"/>
      <c r="G21" s="30"/>
      <c r="H21" s="30"/>
      <c r="I21" s="30"/>
      <c r="J21" s="30"/>
      <c r="K21" s="30"/>
      <c r="L21" s="30"/>
      <c r="M21" s="30"/>
      <c r="N21" s="30"/>
      <c r="O21" s="30"/>
      <c r="P21" s="30"/>
      <c r="Q21" s="30"/>
      <c r="R21" s="30"/>
      <c r="S21" s="30"/>
      <c r="T21" s="30"/>
      <c r="U21" s="30"/>
      <c r="V21" s="30">
        <f t="shared" si="0"/>
        <v>0</v>
      </c>
      <c r="W21" s="36">
        <f>V21/L4*20</f>
        <v>0</v>
      </c>
      <c r="X21" s="37">
        <f t="shared" si="1"/>
        <v>100</v>
      </c>
      <c r="Y21" s="61" t="s">
        <v>189</v>
      </c>
      <c r="Z21" s="7"/>
      <c r="AA21" s="7"/>
      <c r="AB21" s="8"/>
    </row>
    <row r="22" spans="1:28" x14ac:dyDescent="0.2">
      <c r="A22" s="27"/>
      <c r="B22" s="30"/>
      <c r="C22" s="30"/>
      <c r="D22" s="30"/>
      <c r="E22" s="30"/>
      <c r="F22" s="30"/>
      <c r="G22" s="30"/>
      <c r="H22" s="30"/>
      <c r="I22" s="30"/>
      <c r="J22" s="30"/>
      <c r="K22" s="30"/>
      <c r="L22" s="30"/>
      <c r="M22" s="30"/>
      <c r="N22" s="30"/>
      <c r="O22" s="30"/>
      <c r="P22" s="30"/>
      <c r="Q22" s="30"/>
      <c r="R22" s="30"/>
      <c r="S22" s="30"/>
      <c r="T22" s="30"/>
      <c r="U22" s="30"/>
      <c r="V22" s="30"/>
      <c r="W22" s="36"/>
      <c r="X22" s="37"/>
      <c r="Y22" s="44"/>
      <c r="Z22" s="7"/>
      <c r="AA22" s="7"/>
      <c r="AB22" s="8"/>
    </row>
    <row r="23" spans="1:28" x14ac:dyDescent="0.2">
      <c r="A23" s="27"/>
      <c r="B23" s="30"/>
      <c r="C23" s="30"/>
      <c r="D23" s="30"/>
      <c r="E23" s="30"/>
      <c r="F23" s="30"/>
      <c r="G23" s="30"/>
      <c r="H23" s="30"/>
      <c r="I23" s="30"/>
      <c r="J23" s="30"/>
      <c r="K23" s="30"/>
      <c r="L23" s="30"/>
      <c r="M23" s="30"/>
      <c r="N23" s="30"/>
      <c r="O23" s="30"/>
      <c r="P23" s="30"/>
      <c r="Q23" s="30"/>
      <c r="R23" s="30"/>
      <c r="S23" s="30"/>
      <c r="T23" s="30"/>
      <c r="U23" s="30"/>
      <c r="V23" s="30"/>
      <c r="W23" s="36"/>
      <c r="X23" s="37"/>
      <c r="Y23" s="44"/>
      <c r="Z23" s="7"/>
      <c r="AA23" s="7"/>
      <c r="AB23" s="8"/>
    </row>
    <row r="24" spans="1:28" x14ac:dyDescent="0.2">
      <c r="A24" s="27"/>
      <c r="B24" s="30"/>
      <c r="C24" s="30"/>
      <c r="D24" s="30"/>
      <c r="E24" s="30"/>
      <c r="F24" s="30"/>
      <c r="G24" s="30"/>
      <c r="H24" s="30"/>
      <c r="I24" s="30"/>
      <c r="J24" s="30"/>
      <c r="K24" s="30"/>
      <c r="L24" s="30"/>
      <c r="M24" s="30"/>
      <c r="N24" s="30"/>
      <c r="O24" s="30"/>
      <c r="P24" s="30"/>
      <c r="Q24" s="30"/>
      <c r="R24" s="30"/>
      <c r="S24" s="30"/>
      <c r="T24" s="30"/>
      <c r="U24" s="30"/>
      <c r="V24" s="30"/>
      <c r="W24" s="36"/>
      <c r="X24" s="37"/>
      <c r="Y24" s="44"/>
      <c r="Z24" s="7"/>
      <c r="AA24" s="7"/>
      <c r="AB24" s="8"/>
    </row>
    <row r="25" spans="1:28" x14ac:dyDescent="0.2">
      <c r="A25" s="27"/>
      <c r="B25" s="30"/>
      <c r="C25" s="30"/>
      <c r="D25" s="30"/>
      <c r="E25" s="30"/>
      <c r="F25" s="30"/>
      <c r="G25" s="30"/>
      <c r="H25" s="30"/>
      <c r="I25" s="30"/>
      <c r="J25" s="30"/>
      <c r="K25" s="30"/>
      <c r="L25" s="30"/>
      <c r="M25" s="30"/>
      <c r="N25" s="30"/>
      <c r="O25" s="30"/>
      <c r="P25" s="30"/>
      <c r="Q25" s="30"/>
      <c r="R25" s="30"/>
      <c r="S25" s="30"/>
      <c r="T25" s="30"/>
      <c r="U25" s="30"/>
      <c r="V25" s="30"/>
      <c r="W25" s="36"/>
      <c r="X25" s="37"/>
      <c r="Y25" s="44"/>
      <c r="Z25" s="7"/>
      <c r="AA25" s="7"/>
      <c r="AB25" s="8"/>
    </row>
    <row r="26" spans="1:28" x14ac:dyDescent="0.2">
      <c r="A26" s="27"/>
      <c r="B26" s="30"/>
      <c r="C26" s="30"/>
      <c r="D26" s="30"/>
      <c r="E26" s="30"/>
      <c r="F26" s="30"/>
      <c r="G26" s="30"/>
      <c r="H26" s="30"/>
      <c r="I26" s="30"/>
      <c r="J26" s="30"/>
      <c r="K26" s="30"/>
      <c r="L26" s="30"/>
      <c r="M26" s="30"/>
      <c r="N26" s="30"/>
      <c r="O26" s="30"/>
      <c r="P26" s="30"/>
      <c r="Q26" s="30"/>
      <c r="R26" s="30"/>
      <c r="S26" s="30"/>
      <c r="T26" s="30"/>
      <c r="U26" s="30"/>
      <c r="V26" s="30"/>
      <c r="W26" s="36"/>
      <c r="X26" s="37"/>
      <c r="Y26" s="44"/>
      <c r="Z26" s="7"/>
      <c r="AA26" s="7"/>
      <c r="AB26" s="8"/>
    </row>
    <row r="27" spans="1:28" x14ac:dyDescent="0.2">
      <c r="A27" s="27"/>
      <c r="B27" s="30"/>
      <c r="C27" s="30"/>
      <c r="D27" s="30"/>
      <c r="E27" s="30"/>
      <c r="F27" s="30"/>
      <c r="G27" s="30"/>
      <c r="H27" s="30"/>
      <c r="I27" s="30"/>
      <c r="J27" s="30"/>
      <c r="K27" s="30"/>
      <c r="L27" s="30"/>
      <c r="M27" s="30"/>
      <c r="N27" s="30"/>
      <c r="O27" s="30"/>
      <c r="P27" s="30"/>
      <c r="Q27" s="30"/>
      <c r="R27" s="30"/>
      <c r="S27" s="30"/>
      <c r="T27" s="30"/>
      <c r="U27" s="30"/>
      <c r="V27" s="30"/>
      <c r="W27" s="38"/>
      <c r="X27" s="39"/>
      <c r="Y27" s="45"/>
      <c r="Z27" s="11"/>
      <c r="AA27" s="11"/>
      <c r="AB27" s="12"/>
    </row>
    <row r="28" spans="1:28" x14ac:dyDescent="0.2">
      <c r="A28" s="27" t="s">
        <v>127</v>
      </c>
      <c r="B28" s="30">
        <f t="shared" ref="B28:U28" si="2">SUM(B12:B27)</f>
        <v>0</v>
      </c>
      <c r="C28" s="30">
        <f t="shared" si="2"/>
        <v>0</v>
      </c>
      <c r="D28" s="30">
        <f t="shared" si="2"/>
        <v>0</v>
      </c>
      <c r="E28" s="30">
        <f t="shared" si="2"/>
        <v>0</v>
      </c>
      <c r="F28" s="30">
        <f t="shared" si="2"/>
        <v>0</v>
      </c>
      <c r="G28" s="30">
        <f t="shared" si="2"/>
        <v>0</v>
      </c>
      <c r="H28" s="30">
        <f t="shared" si="2"/>
        <v>0</v>
      </c>
      <c r="I28" s="30">
        <f t="shared" si="2"/>
        <v>0</v>
      </c>
      <c r="J28" s="30">
        <f t="shared" si="2"/>
        <v>0</v>
      </c>
      <c r="K28" s="30">
        <f t="shared" si="2"/>
        <v>0</v>
      </c>
      <c r="L28" s="30">
        <f>SUM(L12:L27)</f>
        <v>0</v>
      </c>
      <c r="M28" s="30">
        <f t="shared" si="2"/>
        <v>0</v>
      </c>
      <c r="N28" s="30">
        <f t="shared" si="2"/>
        <v>0</v>
      </c>
      <c r="O28" s="30">
        <f t="shared" si="2"/>
        <v>0</v>
      </c>
      <c r="P28" s="30">
        <f t="shared" si="2"/>
        <v>0</v>
      </c>
      <c r="Q28" s="30">
        <f t="shared" si="2"/>
        <v>0</v>
      </c>
      <c r="R28" s="30">
        <f t="shared" si="2"/>
        <v>0</v>
      </c>
      <c r="S28" s="30">
        <f t="shared" si="2"/>
        <v>0</v>
      </c>
      <c r="T28" s="30">
        <f t="shared" si="2"/>
        <v>0</v>
      </c>
      <c r="U28" s="30">
        <f t="shared" si="2"/>
        <v>0</v>
      </c>
      <c r="V28" s="30">
        <f t="shared" si="0"/>
        <v>0</v>
      </c>
      <c r="W28" s="28"/>
      <c r="X28" s="7"/>
    </row>
    <row r="29" spans="1:28" x14ac:dyDescent="0.2">
      <c r="A29" s="27" t="s">
        <v>128</v>
      </c>
      <c r="B29" s="31">
        <f t="shared" ref="B29:U29" si="3">B28*B28</f>
        <v>0</v>
      </c>
      <c r="C29" s="31">
        <f t="shared" si="3"/>
        <v>0</v>
      </c>
      <c r="D29" s="31">
        <f t="shared" si="3"/>
        <v>0</v>
      </c>
      <c r="E29" s="31">
        <f t="shared" si="3"/>
        <v>0</v>
      </c>
      <c r="F29" s="31">
        <f t="shared" si="3"/>
        <v>0</v>
      </c>
      <c r="G29" s="31">
        <f t="shared" si="3"/>
        <v>0</v>
      </c>
      <c r="H29" s="31">
        <f t="shared" si="3"/>
        <v>0</v>
      </c>
      <c r="I29" s="31">
        <f t="shared" si="3"/>
        <v>0</v>
      </c>
      <c r="J29" s="31">
        <f t="shared" si="3"/>
        <v>0</v>
      </c>
      <c r="K29" s="31">
        <f t="shared" si="3"/>
        <v>0</v>
      </c>
      <c r="L29" s="31">
        <f t="shared" si="3"/>
        <v>0</v>
      </c>
      <c r="M29" s="31">
        <f t="shared" si="3"/>
        <v>0</v>
      </c>
      <c r="N29" s="31">
        <f t="shared" si="3"/>
        <v>0</v>
      </c>
      <c r="O29" s="31">
        <f t="shared" si="3"/>
        <v>0</v>
      </c>
      <c r="P29" s="31">
        <f t="shared" si="3"/>
        <v>0</v>
      </c>
      <c r="Q29" s="31">
        <f t="shared" si="3"/>
        <v>0</v>
      </c>
      <c r="R29" s="31">
        <f t="shared" si="3"/>
        <v>0</v>
      </c>
      <c r="S29" s="31">
        <f t="shared" si="3"/>
        <v>0</v>
      </c>
      <c r="T29" s="31">
        <f t="shared" si="3"/>
        <v>0</v>
      </c>
      <c r="U29" s="31">
        <f t="shared" si="3"/>
        <v>0</v>
      </c>
      <c r="V29" s="31">
        <f t="shared" si="0"/>
        <v>0</v>
      </c>
      <c r="W29" t="s">
        <v>12</v>
      </c>
      <c r="X29" s="2"/>
    </row>
    <row r="38" spans="1:28" x14ac:dyDescent="0.2">
      <c r="A38" s="2" t="s">
        <v>6</v>
      </c>
    </row>
    <row r="39" spans="1:28" x14ac:dyDescent="0.2">
      <c r="A39" s="27" t="s">
        <v>1</v>
      </c>
      <c r="B39" s="30" t="s">
        <v>112</v>
      </c>
      <c r="C39" s="30" t="s">
        <v>113</v>
      </c>
      <c r="D39" s="30" t="s">
        <v>114</v>
      </c>
      <c r="E39" s="30" t="s">
        <v>115</v>
      </c>
      <c r="F39" s="30" t="s">
        <v>116</v>
      </c>
      <c r="G39" s="30" t="s">
        <v>117</v>
      </c>
      <c r="H39" s="30" t="s">
        <v>118</v>
      </c>
      <c r="I39" s="30" t="s">
        <v>119</v>
      </c>
      <c r="J39" s="30" t="s">
        <v>120</v>
      </c>
      <c r="K39" s="30" t="s">
        <v>121</v>
      </c>
      <c r="L39" s="30" t="s">
        <v>122</v>
      </c>
      <c r="M39" s="30" t="s">
        <v>123</v>
      </c>
      <c r="N39" s="30" t="s">
        <v>124</v>
      </c>
      <c r="O39" s="30" t="s">
        <v>125</v>
      </c>
      <c r="P39" s="30" t="s">
        <v>126</v>
      </c>
      <c r="Q39" s="30" t="s">
        <v>15</v>
      </c>
      <c r="R39" s="30" t="s">
        <v>17</v>
      </c>
      <c r="S39" s="30" t="s">
        <v>18</v>
      </c>
      <c r="T39" s="30" t="s">
        <v>19</v>
      </c>
      <c r="U39" s="30" t="s">
        <v>20</v>
      </c>
      <c r="V39" t="s">
        <v>24</v>
      </c>
      <c r="W39" t="s">
        <v>13</v>
      </c>
      <c r="X39" t="s">
        <v>14</v>
      </c>
      <c r="Y39" t="s">
        <v>124</v>
      </c>
      <c r="Z39" t="s">
        <v>15</v>
      </c>
      <c r="AA39" t="s">
        <v>21</v>
      </c>
      <c r="AB39" t="s">
        <v>7</v>
      </c>
    </row>
    <row r="40" spans="1:28" x14ac:dyDescent="0.2">
      <c r="A40" s="27">
        <f>A12</f>
        <v>31</v>
      </c>
      <c r="B40" s="30">
        <f t="shared" ref="B40:U40" si="4">B12*B12</f>
        <v>0</v>
      </c>
      <c r="C40" s="30">
        <f t="shared" si="4"/>
        <v>0</v>
      </c>
      <c r="D40" s="30">
        <f t="shared" si="4"/>
        <v>0</v>
      </c>
      <c r="E40" s="30">
        <f t="shared" si="4"/>
        <v>0</v>
      </c>
      <c r="F40" s="30">
        <f t="shared" si="4"/>
        <v>0</v>
      </c>
      <c r="G40" s="30">
        <f t="shared" si="4"/>
        <v>0</v>
      </c>
      <c r="H40" s="30">
        <f t="shared" si="4"/>
        <v>0</v>
      </c>
      <c r="I40" s="30">
        <f t="shared" si="4"/>
        <v>0</v>
      </c>
      <c r="J40" s="30">
        <f t="shared" si="4"/>
        <v>0</v>
      </c>
      <c r="K40" s="30">
        <f t="shared" si="4"/>
        <v>0</v>
      </c>
      <c r="L40" s="30">
        <f t="shared" si="4"/>
        <v>0</v>
      </c>
      <c r="M40" s="30">
        <f t="shared" si="4"/>
        <v>0</v>
      </c>
      <c r="N40" s="30">
        <f t="shared" si="4"/>
        <v>0</v>
      </c>
      <c r="O40" s="30">
        <f t="shared" si="4"/>
        <v>0</v>
      </c>
      <c r="P40" s="30">
        <f t="shared" si="4"/>
        <v>0</v>
      </c>
      <c r="Q40" s="30">
        <f t="shared" si="4"/>
        <v>0</v>
      </c>
      <c r="R40" s="30">
        <f t="shared" si="4"/>
        <v>0</v>
      </c>
      <c r="S40" s="30">
        <f t="shared" si="4"/>
        <v>0</v>
      </c>
      <c r="T40" s="30">
        <f t="shared" si="4"/>
        <v>0</v>
      </c>
      <c r="U40" s="30">
        <f t="shared" si="4"/>
        <v>0</v>
      </c>
      <c r="V40">
        <f t="shared" ref="V40:V49" si="5">SUM(B40:U40)</f>
        <v>0</v>
      </c>
      <c r="W40">
        <f t="shared" ref="W40:W49" si="6">V12*V12</f>
        <v>0</v>
      </c>
      <c r="X40">
        <f>L4*(L4-1)</f>
        <v>380</v>
      </c>
      <c r="Y40">
        <f>L4*V40-W40</f>
        <v>0</v>
      </c>
      <c r="Z40">
        <f t="shared" ref="Z40:Z49" si="7">Y40/X40</f>
        <v>0</v>
      </c>
      <c r="AA40">
        <f t="shared" ref="AA40:AA49" si="8">SQRT(Z40)</f>
        <v>0</v>
      </c>
      <c r="AB40">
        <f t="shared" ref="AB40:AB49" si="9">AA40/4*100</f>
        <v>0</v>
      </c>
    </row>
    <row r="41" spans="1:28" x14ac:dyDescent="0.2">
      <c r="A41" s="27">
        <f t="shared" ref="A41:A49" si="10">A13</f>
        <v>32</v>
      </c>
      <c r="B41" s="30">
        <f t="shared" ref="B41:U41" si="11">B13*B13</f>
        <v>0</v>
      </c>
      <c r="C41" s="30">
        <f t="shared" si="11"/>
        <v>0</v>
      </c>
      <c r="D41" s="30">
        <f t="shared" si="11"/>
        <v>0</v>
      </c>
      <c r="E41" s="30">
        <f t="shared" si="11"/>
        <v>0</v>
      </c>
      <c r="F41" s="30">
        <f t="shared" si="11"/>
        <v>0</v>
      </c>
      <c r="G41" s="30">
        <f t="shared" si="11"/>
        <v>0</v>
      </c>
      <c r="H41" s="30">
        <f t="shared" si="11"/>
        <v>0</v>
      </c>
      <c r="I41" s="30">
        <f t="shared" si="11"/>
        <v>0</v>
      </c>
      <c r="J41" s="30">
        <f t="shared" si="11"/>
        <v>0</v>
      </c>
      <c r="K41" s="30">
        <f t="shared" si="11"/>
        <v>0</v>
      </c>
      <c r="L41" s="30">
        <f t="shared" si="11"/>
        <v>0</v>
      </c>
      <c r="M41" s="30">
        <f t="shared" si="11"/>
        <v>0</v>
      </c>
      <c r="N41" s="30">
        <f t="shared" si="11"/>
        <v>0</v>
      </c>
      <c r="O41" s="30">
        <f t="shared" si="11"/>
        <v>0</v>
      </c>
      <c r="P41" s="30">
        <f t="shared" si="11"/>
        <v>0</v>
      </c>
      <c r="Q41" s="30">
        <f t="shared" si="11"/>
        <v>0</v>
      </c>
      <c r="R41" s="30">
        <f t="shared" si="11"/>
        <v>0</v>
      </c>
      <c r="S41" s="30">
        <f t="shared" si="11"/>
        <v>0</v>
      </c>
      <c r="T41" s="30">
        <f t="shared" si="11"/>
        <v>0</v>
      </c>
      <c r="U41" s="30">
        <f t="shared" si="11"/>
        <v>0</v>
      </c>
      <c r="V41">
        <f t="shared" si="5"/>
        <v>0</v>
      </c>
      <c r="W41">
        <f t="shared" si="6"/>
        <v>0</v>
      </c>
      <c r="X41">
        <f>L4*(L4-1)</f>
        <v>380</v>
      </c>
      <c r="Y41">
        <f>L4*V41-W41</f>
        <v>0</v>
      </c>
      <c r="Z41">
        <f t="shared" si="7"/>
        <v>0</v>
      </c>
      <c r="AA41">
        <f t="shared" si="8"/>
        <v>0</v>
      </c>
      <c r="AB41">
        <f t="shared" si="9"/>
        <v>0</v>
      </c>
    </row>
    <row r="42" spans="1:28" x14ac:dyDescent="0.2">
      <c r="A42" s="27">
        <f t="shared" si="10"/>
        <v>33</v>
      </c>
      <c r="B42" s="30">
        <f t="shared" ref="B42:U42" si="12">B14*B14</f>
        <v>0</v>
      </c>
      <c r="C42" s="30">
        <f t="shared" si="12"/>
        <v>0</v>
      </c>
      <c r="D42" s="30">
        <f t="shared" si="12"/>
        <v>0</v>
      </c>
      <c r="E42" s="30">
        <f t="shared" si="12"/>
        <v>0</v>
      </c>
      <c r="F42" s="30">
        <f t="shared" si="12"/>
        <v>0</v>
      </c>
      <c r="G42" s="30">
        <f t="shared" si="12"/>
        <v>0</v>
      </c>
      <c r="H42" s="30">
        <f t="shared" si="12"/>
        <v>0</v>
      </c>
      <c r="I42" s="30">
        <f t="shared" si="12"/>
        <v>0</v>
      </c>
      <c r="J42" s="30">
        <f t="shared" si="12"/>
        <v>0</v>
      </c>
      <c r="K42" s="30">
        <f t="shared" si="12"/>
        <v>0</v>
      </c>
      <c r="L42" s="30">
        <f t="shared" si="12"/>
        <v>0</v>
      </c>
      <c r="M42" s="30">
        <f t="shared" si="12"/>
        <v>0</v>
      </c>
      <c r="N42" s="30">
        <f t="shared" si="12"/>
        <v>0</v>
      </c>
      <c r="O42" s="30">
        <f t="shared" si="12"/>
        <v>0</v>
      </c>
      <c r="P42" s="30">
        <f t="shared" si="12"/>
        <v>0</v>
      </c>
      <c r="Q42" s="30">
        <f t="shared" si="12"/>
        <v>0</v>
      </c>
      <c r="R42" s="30">
        <f t="shared" si="12"/>
        <v>0</v>
      </c>
      <c r="S42" s="30">
        <f t="shared" si="12"/>
        <v>0</v>
      </c>
      <c r="T42" s="30">
        <f t="shared" si="12"/>
        <v>0</v>
      </c>
      <c r="U42" s="30">
        <f t="shared" si="12"/>
        <v>0</v>
      </c>
      <c r="V42">
        <f t="shared" si="5"/>
        <v>0</v>
      </c>
      <c r="W42">
        <f t="shared" si="6"/>
        <v>0</v>
      </c>
      <c r="X42">
        <f>L4*(L4-1)</f>
        <v>380</v>
      </c>
      <c r="Y42">
        <f>L4*V42-W42</f>
        <v>0</v>
      </c>
      <c r="Z42">
        <f t="shared" si="7"/>
        <v>0</v>
      </c>
      <c r="AA42">
        <f t="shared" si="8"/>
        <v>0</v>
      </c>
      <c r="AB42">
        <f t="shared" si="9"/>
        <v>0</v>
      </c>
    </row>
    <row r="43" spans="1:28" x14ac:dyDescent="0.2">
      <c r="A43" s="27">
        <f t="shared" si="10"/>
        <v>34</v>
      </c>
      <c r="B43" s="30">
        <f t="shared" ref="B43:U43" si="13">B15*B15</f>
        <v>0</v>
      </c>
      <c r="C43" s="30">
        <f t="shared" si="13"/>
        <v>0</v>
      </c>
      <c r="D43" s="30">
        <f t="shared" si="13"/>
        <v>0</v>
      </c>
      <c r="E43" s="30">
        <f t="shared" si="13"/>
        <v>0</v>
      </c>
      <c r="F43" s="30">
        <f t="shared" si="13"/>
        <v>0</v>
      </c>
      <c r="G43" s="30">
        <f t="shared" si="13"/>
        <v>0</v>
      </c>
      <c r="H43" s="30">
        <f t="shared" si="13"/>
        <v>0</v>
      </c>
      <c r="I43" s="30">
        <f t="shared" si="13"/>
        <v>0</v>
      </c>
      <c r="J43" s="30">
        <f t="shared" si="13"/>
        <v>0</v>
      </c>
      <c r="K43" s="30">
        <f t="shared" si="13"/>
        <v>0</v>
      </c>
      <c r="L43" s="30">
        <f t="shared" si="13"/>
        <v>0</v>
      </c>
      <c r="M43" s="30">
        <f t="shared" si="13"/>
        <v>0</v>
      </c>
      <c r="N43" s="30">
        <f t="shared" si="13"/>
        <v>0</v>
      </c>
      <c r="O43" s="30">
        <f t="shared" si="13"/>
        <v>0</v>
      </c>
      <c r="P43" s="30">
        <f t="shared" si="13"/>
        <v>0</v>
      </c>
      <c r="Q43" s="30">
        <f t="shared" si="13"/>
        <v>0</v>
      </c>
      <c r="R43" s="30">
        <f t="shared" si="13"/>
        <v>0</v>
      </c>
      <c r="S43" s="30">
        <f t="shared" si="13"/>
        <v>0</v>
      </c>
      <c r="T43" s="30">
        <f t="shared" si="13"/>
        <v>0</v>
      </c>
      <c r="U43" s="30">
        <f t="shared" si="13"/>
        <v>0</v>
      </c>
      <c r="V43">
        <f t="shared" si="5"/>
        <v>0</v>
      </c>
      <c r="W43">
        <f t="shared" si="6"/>
        <v>0</v>
      </c>
      <c r="X43">
        <f>L4*(L4-1)</f>
        <v>380</v>
      </c>
      <c r="Y43">
        <f>L4*V43-W43</f>
        <v>0</v>
      </c>
      <c r="Z43">
        <f t="shared" si="7"/>
        <v>0</v>
      </c>
      <c r="AA43">
        <f t="shared" si="8"/>
        <v>0</v>
      </c>
      <c r="AB43">
        <f t="shared" si="9"/>
        <v>0</v>
      </c>
    </row>
    <row r="44" spans="1:28" x14ac:dyDescent="0.2">
      <c r="A44" s="27">
        <f t="shared" si="10"/>
        <v>35</v>
      </c>
      <c r="B44" s="30">
        <f t="shared" ref="B44:U44" si="14">B16*B16</f>
        <v>0</v>
      </c>
      <c r="C44" s="30">
        <f t="shared" si="14"/>
        <v>0</v>
      </c>
      <c r="D44" s="30">
        <f t="shared" si="14"/>
        <v>0</v>
      </c>
      <c r="E44" s="30">
        <f t="shared" si="14"/>
        <v>0</v>
      </c>
      <c r="F44" s="30">
        <f t="shared" si="14"/>
        <v>0</v>
      </c>
      <c r="G44" s="30">
        <f t="shared" si="14"/>
        <v>0</v>
      </c>
      <c r="H44" s="30">
        <f t="shared" si="14"/>
        <v>0</v>
      </c>
      <c r="I44" s="30">
        <f t="shared" si="14"/>
        <v>0</v>
      </c>
      <c r="J44" s="30">
        <f t="shared" si="14"/>
        <v>0</v>
      </c>
      <c r="K44" s="30">
        <f t="shared" si="14"/>
        <v>0</v>
      </c>
      <c r="L44" s="30">
        <f t="shared" si="14"/>
        <v>0</v>
      </c>
      <c r="M44" s="30">
        <f t="shared" si="14"/>
        <v>0</v>
      </c>
      <c r="N44" s="30">
        <f t="shared" si="14"/>
        <v>0</v>
      </c>
      <c r="O44" s="30">
        <f t="shared" si="14"/>
        <v>0</v>
      </c>
      <c r="P44" s="30">
        <f t="shared" si="14"/>
        <v>0</v>
      </c>
      <c r="Q44" s="30">
        <f t="shared" si="14"/>
        <v>0</v>
      </c>
      <c r="R44" s="30">
        <f t="shared" si="14"/>
        <v>0</v>
      </c>
      <c r="S44" s="30">
        <f t="shared" si="14"/>
        <v>0</v>
      </c>
      <c r="T44" s="30">
        <f t="shared" si="14"/>
        <v>0</v>
      </c>
      <c r="U44" s="30">
        <f t="shared" si="14"/>
        <v>0</v>
      </c>
      <c r="V44">
        <f t="shared" si="5"/>
        <v>0</v>
      </c>
      <c r="W44">
        <f t="shared" si="6"/>
        <v>0</v>
      </c>
      <c r="X44">
        <f>L4*(L4-1)</f>
        <v>380</v>
      </c>
      <c r="Y44">
        <f>L4*V44-W44</f>
        <v>0</v>
      </c>
      <c r="Z44">
        <f t="shared" si="7"/>
        <v>0</v>
      </c>
      <c r="AA44">
        <f t="shared" si="8"/>
        <v>0</v>
      </c>
      <c r="AB44">
        <f t="shared" si="9"/>
        <v>0</v>
      </c>
    </row>
    <row r="45" spans="1:28" x14ac:dyDescent="0.2">
      <c r="A45" s="27">
        <f t="shared" si="10"/>
        <v>36</v>
      </c>
      <c r="B45" s="30">
        <f t="shared" ref="B45:U45" si="15">B17*B17</f>
        <v>0</v>
      </c>
      <c r="C45" s="30">
        <f t="shared" si="15"/>
        <v>0</v>
      </c>
      <c r="D45" s="30">
        <f t="shared" si="15"/>
        <v>0</v>
      </c>
      <c r="E45" s="30">
        <f t="shared" si="15"/>
        <v>0</v>
      </c>
      <c r="F45" s="30">
        <f t="shared" si="15"/>
        <v>0</v>
      </c>
      <c r="G45" s="30">
        <f t="shared" si="15"/>
        <v>0</v>
      </c>
      <c r="H45" s="30">
        <f t="shared" si="15"/>
        <v>0</v>
      </c>
      <c r="I45" s="30">
        <f t="shared" si="15"/>
        <v>0</v>
      </c>
      <c r="J45" s="30">
        <f t="shared" si="15"/>
        <v>0</v>
      </c>
      <c r="K45" s="30">
        <f t="shared" si="15"/>
        <v>0</v>
      </c>
      <c r="L45" s="30">
        <f t="shared" si="15"/>
        <v>0</v>
      </c>
      <c r="M45" s="30">
        <f t="shared" si="15"/>
        <v>0</v>
      </c>
      <c r="N45" s="30">
        <f t="shared" si="15"/>
        <v>0</v>
      </c>
      <c r="O45" s="30">
        <f t="shared" si="15"/>
        <v>0</v>
      </c>
      <c r="P45" s="30">
        <f t="shared" si="15"/>
        <v>0</v>
      </c>
      <c r="Q45" s="30">
        <f t="shared" si="15"/>
        <v>0</v>
      </c>
      <c r="R45" s="30">
        <f t="shared" si="15"/>
        <v>0</v>
      </c>
      <c r="S45" s="30">
        <f t="shared" si="15"/>
        <v>0</v>
      </c>
      <c r="T45" s="30">
        <f t="shared" si="15"/>
        <v>0</v>
      </c>
      <c r="U45" s="30">
        <f t="shared" si="15"/>
        <v>0</v>
      </c>
      <c r="V45">
        <f t="shared" si="5"/>
        <v>0</v>
      </c>
      <c r="W45">
        <f t="shared" si="6"/>
        <v>0</v>
      </c>
      <c r="X45">
        <f>L4*(L4-1)</f>
        <v>380</v>
      </c>
      <c r="Y45">
        <f>L4*V45-W45</f>
        <v>0</v>
      </c>
      <c r="Z45">
        <f t="shared" si="7"/>
        <v>0</v>
      </c>
      <c r="AA45">
        <f t="shared" si="8"/>
        <v>0</v>
      </c>
      <c r="AB45">
        <f t="shared" si="9"/>
        <v>0</v>
      </c>
    </row>
    <row r="46" spans="1:28" x14ac:dyDescent="0.2">
      <c r="A46" s="27">
        <f t="shared" si="10"/>
        <v>37</v>
      </c>
      <c r="B46" s="30">
        <f t="shared" ref="B46:U46" si="16">B18*B18</f>
        <v>0</v>
      </c>
      <c r="C46" s="30">
        <f t="shared" si="16"/>
        <v>0</v>
      </c>
      <c r="D46" s="30">
        <f t="shared" si="16"/>
        <v>0</v>
      </c>
      <c r="E46" s="30">
        <f t="shared" si="16"/>
        <v>0</v>
      </c>
      <c r="F46" s="30">
        <f t="shared" si="16"/>
        <v>0</v>
      </c>
      <c r="G46" s="30">
        <f t="shared" si="16"/>
        <v>0</v>
      </c>
      <c r="H46" s="30">
        <f t="shared" si="16"/>
        <v>0</v>
      </c>
      <c r="I46" s="30">
        <f t="shared" si="16"/>
        <v>0</v>
      </c>
      <c r="J46" s="30">
        <f t="shared" si="16"/>
        <v>0</v>
      </c>
      <c r="K46" s="30">
        <f t="shared" si="16"/>
        <v>0</v>
      </c>
      <c r="L46" s="30">
        <f t="shared" si="16"/>
        <v>0</v>
      </c>
      <c r="M46" s="30">
        <f t="shared" si="16"/>
        <v>0</v>
      </c>
      <c r="N46" s="30">
        <f t="shared" si="16"/>
        <v>0</v>
      </c>
      <c r="O46" s="30">
        <f t="shared" si="16"/>
        <v>0</v>
      </c>
      <c r="P46" s="30">
        <f t="shared" si="16"/>
        <v>0</v>
      </c>
      <c r="Q46" s="30">
        <f t="shared" si="16"/>
        <v>0</v>
      </c>
      <c r="R46" s="30">
        <f t="shared" si="16"/>
        <v>0</v>
      </c>
      <c r="S46" s="30">
        <f t="shared" si="16"/>
        <v>0</v>
      </c>
      <c r="T46" s="30">
        <f t="shared" si="16"/>
        <v>0</v>
      </c>
      <c r="U46" s="30">
        <f t="shared" si="16"/>
        <v>0</v>
      </c>
      <c r="V46">
        <f t="shared" si="5"/>
        <v>0</v>
      </c>
      <c r="W46">
        <f t="shared" si="6"/>
        <v>0</v>
      </c>
      <c r="X46">
        <f>L4*(L4-1)</f>
        <v>380</v>
      </c>
      <c r="Y46">
        <f>L4*V46-W46</f>
        <v>0</v>
      </c>
      <c r="Z46">
        <f t="shared" si="7"/>
        <v>0</v>
      </c>
      <c r="AA46">
        <f t="shared" si="8"/>
        <v>0</v>
      </c>
      <c r="AB46">
        <f t="shared" si="9"/>
        <v>0</v>
      </c>
    </row>
    <row r="47" spans="1:28" x14ac:dyDescent="0.2">
      <c r="A47" s="27">
        <f t="shared" si="10"/>
        <v>38</v>
      </c>
      <c r="B47" s="30">
        <f t="shared" ref="B47:U47" si="17">B19*B19</f>
        <v>0</v>
      </c>
      <c r="C47" s="30">
        <f t="shared" si="17"/>
        <v>0</v>
      </c>
      <c r="D47" s="30">
        <f t="shared" si="17"/>
        <v>0</v>
      </c>
      <c r="E47" s="30">
        <f t="shared" si="17"/>
        <v>0</v>
      </c>
      <c r="F47" s="30">
        <f t="shared" si="17"/>
        <v>0</v>
      </c>
      <c r="G47" s="30">
        <f t="shared" si="17"/>
        <v>0</v>
      </c>
      <c r="H47" s="30">
        <f t="shared" si="17"/>
        <v>0</v>
      </c>
      <c r="I47" s="30">
        <f t="shared" si="17"/>
        <v>0</v>
      </c>
      <c r="J47" s="30">
        <f t="shared" si="17"/>
        <v>0</v>
      </c>
      <c r="K47" s="30">
        <f t="shared" si="17"/>
        <v>0</v>
      </c>
      <c r="L47" s="30">
        <f t="shared" si="17"/>
        <v>0</v>
      </c>
      <c r="M47" s="30">
        <f t="shared" si="17"/>
        <v>0</v>
      </c>
      <c r="N47" s="30">
        <f t="shared" si="17"/>
        <v>0</v>
      </c>
      <c r="O47" s="30">
        <f t="shared" si="17"/>
        <v>0</v>
      </c>
      <c r="P47" s="30">
        <f t="shared" si="17"/>
        <v>0</v>
      </c>
      <c r="Q47" s="30">
        <f t="shared" si="17"/>
        <v>0</v>
      </c>
      <c r="R47" s="30">
        <f t="shared" si="17"/>
        <v>0</v>
      </c>
      <c r="S47" s="30">
        <f t="shared" si="17"/>
        <v>0</v>
      </c>
      <c r="T47" s="30">
        <f t="shared" si="17"/>
        <v>0</v>
      </c>
      <c r="U47" s="30">
        <f t="shared" si="17"/>
        <v>0</v>
      </c>
      <c r="V47">
        <f t="shared" si="5"/>
        <v>0</v>
      </c>
      <c r="W47">
        <f t="shared" si="6"/>
        <v>0</v>
      </c>
      <c r="X47">
        <f>L4*(L4-1)</f>
        <v>380</v>
      </c>
      <c r="Y47">
        <f>L4*V47-W47</f>
        <v>0</v>
      </c>
      <c r="Z47">
        <f t="shared" si="7"/>
        <v>0</v>
      </c>
      <c r="AA47">
        <f t="shared" si="8"/>
        <v>0</v>
      </c>
      <c r="AB47">
        <f t="shared" si="9"/>
        <v>0</v>
      </c>
    </row>
    <row r="48" spans="1:28" x14ac:dyDescent="0.2">
      <c r="A48" s="27">
        <f t="shared" si="10"/>
        <v>39</v>
      </c>
      <c r="B48" s="30">
        <f t="shared" ref="B48:U48" si="18">B20*B20</f>
        <v>0</v>
      </c>
      <c r="C48" s="30">
        <f t="shared" si="18"/>
        <v>0</v>
      </c>
      <c r="D48" s="30">
        <f t="shared" si="18"/>
        <v>0</v>
      </c>
      <c r="E48" s="30">
        <f t="shared" si="18"/>
        <v>0</v>
      </c>
      <c r="F48" s="30">
        <f t="shared" si="18"/>
        <v>0</v>
      </c>
      <c r="G48" s="30">
        <f t="shared" si="18"/>
        <v>0</v>
      </c>
      <c r="H48" s="30">
        <f t="shared" si="18"/>
        <v>0</v>
      </c>
      <c r="I48" s="30">
        <f t="shared" si="18"/>
        <v>0</v>
      </c>
      <c r="J48" s="30">
        <f t="shared" si="18"/>
        <v>0</v>
      </c>
      <c r="K48" s="30">
        <f t="shared" si="18"/>
        <v>0</v>
      </c>
      <c r="L48" s="30">
        <f t="shared" si="18"/>
        <v>0</v>
      </c>
      <c r="M48" s="30">
        <f t="shared" si="18"/>
        <v>0</v>
      </c>
      <c r="N48" s="30">
        <f t="shared" si="18"/>
        <v>0</v>
      </c>
      <c r="O48" s="30">
        <f t="shared" si="18"/>
        <v>0</v>
      </c>
      <c r="P48" s="30">
        <f t="shared" si="18"/>
        <v>0</v>
      </c>
      <c r="Q48" s="30">
        <f t="shared" si="18"/>
        <v>0</v>
      </c>
      <c r="R48" s="30">
        <f t="shared" si="18"/>
        <v>0</v>
      </c>
      <c r="S48" s="30">
        <f t="shared" si="18"/>
        <v>0</v>
      </c>
      <c r="T48" s="30">
        <f t="shared" si="18"/>
        <v>0</v>
      </c>
      <c r="U48" s="30">
        <f t="shared" si="18"/>
        <v>0</v>
      </c>
      <c r="V48">
        <f t="shared" si="5"/>
        <v>0</v>
      </c>
      <c r="W48">
        <f t="shared" si="6"/>
        <v>0</v>
      </c>
      <c r="X48">
        <f>L4*(L4-1)</f>
        <v>380</v>
      </c>
      <c r="Y48">
        <f>L4*V48-W48</f>
        <v>0</v>
      </c>
      <c r="Z48">
        <f t="shared" si="7"/>
        <v>0</v>
      </c>
      <c r="AA48">
        <f t="shared" si="8"/>
        <v>0</v>
      </c>
      <c r="AB48">
        <f t="shared" si="9"/>
        <v>0</v>
      </c>
    </row>
    <row r="49" spans="1:28" x14ac:dyDescent="0.2">
      <c r="A49" s="27">
        <f t="shared" si="10"/>
        <v>40</v>
      </c>
      <c r="B49" s="30">
        <f t="shared" ref="B49:U49" si="19">B21*B21</f>
        <v>0</v>
      </c>
      <c r="C49" s="30">
        <f t="shared" si="19"/>
        <v>0</v>
      </c>
      <c r="D49" s="30">
        <f t="shared" si="19"/>
        <v>0</v>
      </c>
      <c r="E49" s="30">
        <f t="shared" si="19"/>
        <v>0</v>
      </c>
      <c r="F49" s="30">
        <f t="shared" si="19"/>
        <v>0</v>
      </c>
      <c r="G49" s="30">
        <f t="shared" si="19"/>
        <v>0</v>
      </c>
      <c r="H49" s="30">
        <f t="shared" si="19"/>
        <v>0</v>
      </c>
      <c r="I49" s="30">
        <f t="shared" si="19"/>
        <v>0</v>
      </c>
      <c r="J49" s="30">
        <f t="shared" si="19"/>
        <v>0</v>
      </c>
      <c r="K49" s="30">
        <f t="shared" si="19"/>
        <v>0</v>
      </c>
      <c r="L49" s="30">
        <f t="shared" si="19"/>
        <v>0</v>
      </c>
      <c r="M49" s="30">
        <f t="shared" si="19"/>
        <v>0</v>
      </c>
      <c r="N49" s="30">
        <f t="shared" si="19"/>
        <v>0</v>
      </c>
      <c r="O49" s="30">
        <f t="shared" si="19"/>
        <v>0</v>
      </c>
      <c r="P49" s="30">
        <f t="shared" si="19"/>
        <v>0</v>
      </c>
      <c r="Q49" s="30">
        <f t="shared" si="19"/>
        <v>0</v>
      </c>
      <c r="R49" s="30">
        <f t="shared" si="19"/>
        <v>0</v>
      </c>
      <c r="S49" s="30">
        <f t="shared" si="19"/>
        <v>0</v>
      </c>
      <c r="T49" s="30">
        <f t="shared" si="19"/>
        <v>0</v>
      </c>
      <c r="U49" s="30">
        <f t="shared" si="19"/>
        <v>0</v>
      </c>
      <c r="V49">
        <f t="shared" si="5"/>
        <v>0</v>
      </c>
      <c r="W49">
        <f t="shared" si="6"/>
        <v>0</v>
      </c>
      <c r="X49">
        <f>L4*(L4-1)</f>
        <v>380</v>
      </c>
      <c r="Y49">
        <f>L4*V49-W49</f>
        <v>0</v>
      </c>
      <c r="Z49">
        <f t="shared" si="7"/>
        <v>0</v>
      </c>
      <c r="AA49">
        <f t="shared" si="8"/>
        <v>0</v>
      </c>
      <c r="AB49">
        <f t="shared" si="9"/>
        <v>0</v>
      </c>
    </row>
    <row r="50" spans="1:28" x14ac:dyDescent="0.2">
      <c r="A50" s="27"/>
      <c r="B50" s="30"/>
      <c r="C50" s="30"/>
      <c r="D50" s="30"/>
      <c r="E50" s="30"/>
      <c r="F50" s="30"/>
      <c r="G50" s="30"/>
      <c r="H50" s="30"/>
      <c r="I50" s="30"/>
      <c r="J50" s="30"/>
      <c r="K50" s="30"/>
      <c r="L50" s="30"/>
      <c r="M50" s="30"/>
      <c r="N50" s="30"/>
      <c r="O50" s="30"/>
      <c r="P50" s="30"/>
      <c r="Q50" s="30"/>
      <c r="R50" s="30"/>
      <c r="S50" s="30"/>
      <c r="T50" s="30"/>
      <c r="U50" s="30"/>
    </row>
    <row r="51" spans="1:28" x14ac:dyDescent="0.2">
      <c r="A51" s="27"/>
      <c r="B51" s="30"/>
      <c r="C51" s="30"/>
      <c r="D51" s="30"/>
      <c r="E51" s="30"/>
      <c r="F51" s="30"/>
      <c r="G51" s="30"/>
      <c r="H51" s="30"/>
      <c r="I51" s="30"/>
      <c r="J51" s="30"/>
      <c r="K51" s="30"/>
      <c r="L51" s="30"/>
      <c r="M51" s="30"/>
      <c r="N51" s="30"/>
      <c r="O51" s="30"/>
      <c r="P51" s="30"/>
      <c r="Q51" s="30"/>
      <c r="R51" s="30"/>
      <c r="S51" s="30"/>
      <c r="T51" s="30"/>
      <c r="U51" s="30"/>
    </row>
    <row r="52" spans="1:28" x14ac:dyDescent="0.2">
      <c r="A52" s="27"/>
      <c r="B52" s="30"/>
      <c r="C52" s="30"/>
      <c r="D52" s="30"/>
      <c r="E52" s="30"/>
      <c r="F52" s="30"/>
      <c r="G52" s="30"/>
      <c r="H52" s="30"/>
      <c r="I52" s="30"/>
      <c r="J52" s="30"/>
      <c r="K52" s="30"/>
      <c r="L52" s="30"/>
      <c r="M52" s="30"/>
      <c r="N52" s="30"/>
      <c r="O52" s="30"/>
      <c r="P52" s="30"/>
      <c r="Q52" s="30"/>
      <c r="R52" s="30"/>
      <c r="S52" s="30"/>
      <c r="T52" s="30"/>
      <c r="U52" s="30"/>
    </row>
    <row r="53" spans="1:28" x14ac:dyDescent="0.2">
      <c r="A53" s="27"/>
      <c r="B53" s="30"/>
      <c r="C53" s="30"/>
      <c r="D53" s="30"/>
      <c r="E53" s="30"/>
      <c r="F53" s="30"/>
      <c r="G53" s="30"/>
      <c r="H53" s="30"/>
      <c r="I53" s="30"/>
      <c r="J53" s="30"/>
      <c r="K53" s="30"/>
      <c r="L53" s="30"/>
      <c r="M53" s="30"/>
      <c r="N53" s="30"/>
      <c r="O53" s="30"/>
      <c r="P53" s="30"/>
      <c r="Q53" s="30"/>
      <c r="R53" s="30"/>
      <c r="S53" s="30"/>
      <c r="T53" s="30"/>
      <c r="U53" s="30"/>
    </row>
    <row r="54" spans="1:28" x14ac:dyDescent="0.2">
      <c r="A54" s="27"/>
      <c r="B54" s="30"/>
      <c r="C54" s="30"/>
      <c r="D54" s="30"/>
      <c r="E54" s="30"/>
      <c r="F54" s="30"/>
      <c r="G54" s="30"/>
      <c r="H54" s="30"/>
      <c r="I54" s="30"/>
      <c r="J54" s="30"/>
      <c r="K54" s="30"/>
      <c r="L54" s="30"/>
      <c r="M54" s="30"/>
      <c r="N54" s="30"/>
      <c r="O54" s="30"/>
      <c r="P54" s="30"/>
      <c r="Q54" s="30"/>
      <c r="R54" s="30"/>
      <c r="S54" s="30"/>
      <c r="T54" s="30"/>
      <c r="U54" s="30"/>
    </row>
    <row r="55" spans="1:28" x14ac:dyDescent="0.2">
      <c r="A55" s="27"/>
      <c r="B55" s="30"/>
      <c r="C55" s="30"/>
      <c r="D55" s="30"/>
      <c r="E55" s="30"/>
      <c r="F55" s="30"/>
      <c r="G55" s="30"/>
      <c r="H55" s="30"/>
      <c r="I55" s="30"/>
      <c r="J55" s="30"/>
      <c r="K55" s="30"/>
      <c r="L55" s="30"/>
      <c r="M55" s="30"/>
      <c r="N55" s="30"/>
      <c r="O55" s="30"/>
      <c r="P55" s="30"/>
      <c r="Q55" s="30"/>
      <c r="R55" s="30"/>
      <c r="S55" s="30"/>
      <c r="T55" s="30"/>
      <c r="U55" s="30"/>
    </row>
  </sheetData>
  <pageMargins left="0.78740157499999996" right="0.78740157499999996" top="0.984251969" bottom="0.984251969" header="0.5" footer="0.5"/>
  <pageSetup paperSize="9" orientation="landscape"/>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AB53"/>
  <sheetViews>
    <sheetView workbookViewId="0">
      <selection activeCell="W2" sqref="W2:AB7"/>
    </sheetView>
  </sheetViews>
  <sheetFormatPr baseColWidth="10" defaultColWidth="8.85546875" defaultRowHeight="12.75" x14ac:dyDescent="0.2"/>
  <cols>
    <col min="1" max="1" width="6.42578125" customWidth="1"/>
    <col min="2" max="21" width="3.7109375" customWidth="1"/>
    <col min="22" max="24" width="8.85546875" customWidth="1"/>
    <col min="25" max="25" width="6.85546875" customWidth="1"/>
    <col min="26" max="26" width="16.42578125" customWidth="1"/>
  </cols>
  <sheetData>
    <row r="1" spans="1:28" ht="18" x14ac:dyDescent="0.25">
      <c r="A1" s="1" t="s">
        <v>8</v>
      </c>
    </row>
    <row r="2" spans="1:28" x14ac:dyDescent="0.2">
      <c r="L2" s="25" t="s">
        <v>61</v>
      </c>
      <c r="M2" s="4"/>
      <c r="N2" s="4"/>
      <c r="O2" s="4"/>
      <c r="P2" s="4"/>
      <c r="Q2" s="4"/>
      <c r="R2" s="4"/>
      <c r="S2" s="4"/>
      <c r="T2" s="4"/>
      <c r="U2" s="5"/>
      <c r="W2" s="25"/>
      <c r="X2" s="4"/>
      <c r="Y2" s="4"/>
      <c r="Z2" s="4"/>
      <c r="AA2" s="4"/>
      <c r="AB2" s="5"/>
    </row>
    <row r="3" spans="1:28" ht="13.5" thickBot="1" x14ac:dyDescent="0.25">
      <c r="B3" s="3" t="s">
        <v>32</v>
      </c>
      <c r="C3" s="7"/>
      <c r="D3" s="7"/>
      <c r="G3" s="7"/>
      <c r="H3" s="7"/>
      <c r="I3" s="7"/>
      <c r="J3" s="7"/>
      <c r="K3" s="7"/>
      <c r="L3" s="47" t="s">
        <v>62</v>
      </c>
      <c r="M3" s="7"/>
      <c r="N3" s="7"/>
      <c r="O3" s="7"/>
      <c r="P3" s="21">
        <f>V24*V24</f>
        <v>0</v>
      </c>
      <c r="Q3" s="40" t="s">
        <v>13</v>
      </c>
      <c r="S3" s="7"/>
      <c r="T3" s="7"/>
      <c r="U3" s="8"/>
      <c r="W3" s="33"/>
      <c r="X3" s="7"/>
      <c r="Y3" s="7"/>
      <c r="Z3" s="7"/>
      <c r="AA3" s="7"/>
      <c r="AB3" s="8"/>
    </row>
    <row r="4" spans="1:28" x14ac:dyDescent="0.2">
      <c r="A4" s="22">
        <f>(P8/L6)*100</f>
        <v>0</v>
      </c>
      <c r="B4" s="13" t="s">
        <v>80</v>
      </c>
      <c r="C4" s="14"/>
      <c r="D4" s="14"/>
      <c r="E4" s="14"/>
      <c r="F4" s="15"/>
      <c r="G4" s="15"/>
      <c r="H4" s="15"/>
      <c r="I4" s="15"/>
      <c r="J4" s="16"/>
      <c r="K4" s="7"/>
      <c r="L4" s="60">
        <f>Aperçu!N2</f>
        <v>20</v>
      </c>
      <c r="M4" s="7"/>
      <c r="N4" s="7"/>
      <c r="O4" s="7"/>
      <c r="P4" s="6">
        <f>L4*(L4-1)</f>
        <v>380</v>
      </c>
      <c r="Q4" s="40" t="s">
        <v>14</v>
      </c>
      <c r="S4" s="7"/>
      <c r="T4" s="7"/>
      <c r="U4" s="8"/>
      <c r="W4" s="33"/>
      <c r="X4" s="7"/>
      <c r="Y4" s="7"/>
      <c r="Z4" s="7"/>
      <c r="AA4" s="7"/>
      <c r="AB4" s="8"/>
    </row>
    <row r="5" spans="1:28" ht="13.5" thickBot="1" x14ac:dyDescent="0.25">
      <c r="A5" s="23">
        <f>100-(P9*2)</f>
        <v>100</v>
      </c>
      <c r="B5" s="17" t="s">
        <v>52</v>
      </c>
      <c r="C5" s="18"/>
      <c r="D5" s="18"/>
      <c r="E5" s="18"/>
      <c r="F5" s="19"/>
      <c r="G5" s="19"/>
      <c r="H5" s="19"/>
      <c r="I5" s="19"/>
      <c r="J5" s="20"/>
      <c r="K5" s="7"/>
      <c r="L5" s="47" t="s">
        <v>63</v>
      </c>
      <c r="M5" s="7"/>
      <c r="N5" s="7"/>
      <c r="O5" s="7"/>
      <c r="P5" s="21">
        <f>(L4*V25)-P3</f>
        <v>0</v>
      </c>
      <c r="Q5" s="40" t="s">
        <v>124</v>
      </c>
      <c r="S5" s="7"/>
      <c r="T5" s="7"/>
      <c r="U5" s="8"/>
      <c r="W5" s="33"/>
      <c r="X5" s="7"/>
      <c r="Y5" s="7"/>
      <c r="Z5" s="7"/>
      <c r="AA5" s="7"/>
      <c r="AB5" s="8"/>
    </row>
    <row r="6" spans="1:28" x14ac:dyDescent="0.2">
      <c r="J6" s="7"/>
      <c r="K6" s="7"/>
      <c r="L6" s="60">
        <f>10*5</f>
        <v>50</v>
      </c>
      <c r="M6" s="7"/>
      <c r="N6" s="9"/>
      <c r="O6" s="7"/>
      <c r="P6" s="6">
        <f>P5/P4</f>
        <v>0</v>
      </c>
      <c r="Q6" s="40" t="s">
        <v>15</v>
      </c>
      <c r="S6" s="7"/>
      <c r="T6" s="7"/>
      <c r="U6" s="8"/>
      <c r="W6" s="33"/>
      <c r="X6" s="7"/>
      <c r="Y6" s="7"/>
      <c r="Z6" s="7"/>
      <c r="AA6" s="7"/>
      <c r="AB6" s="8"/>
    </row>
    <row r="7" spans="1:28" x14ac:dyDescent="0.2">
      <c r="C7" s="7"/>
      <c r="D7" s="7"/>
      <c r="G7" s="7"/>
      <c r="H7" s="7"/>
      <c r="I7" s="7"/>
      <c r="J7" s="7"/>
      <c r="K7" s="7"/>
      <c r="L7" s="47" t="s">
        <v>64</v>
      </c>
      <c r="M7" s="7"/>
      <c r="N7" s="9"/>
      <c r="O7" s="7"/>
      <c r="P7" s="6">
        <f>SQRT(P6)</f>
        <v>0</v>
      </c>
      <c r="Q7" s="40" t="s">
        <v>16</v>
      </c>
      <c r="S7" s="7"/>
      <c r="T7" s="7"/>
      <c r="U7" s="8"/>
      <c r="W7" s="46"/>
      <c r="X7" s="11"/>
      <c r="Y7" s="11"/>
      <c r="Z7" s="11"/>
      <c r="AA7" s="11"/>
      <c r="AB7" s="12"/>
    </row>
    <row r="8" spans="1:28" x14ac:dyDescent="0.2">
      <c r="C8" s="7"/>
      <c r="D8" s="7"/>
      <c r="G8" s="7"/>
      <c r="H8" s="7"/>
      <c r="I8" s="7"/>
      <c r="J8" s="7"/>
      <c r="L8" s="60">
        <v>10</v>
      </c>
      <c r="M8" s="7"/>
      <c r="N8" s="7"/>
      <c r="O8" s="7"/>
      <c r="P8" s="7">
        <f>V24/L4</f>
        <v>0</v>
      </c>
      <c r="Q8" s="40" t="s">
        <v>9</v>
      </c>
      <c r="R8" s="7"/>
      <c r="S8" s="7"/>
      <c r="T8" s="7"/>
      <c r="U8" s="8"/>
    </row>
    <row r="9" spans="1:28" x14ac:dyDescent="0.2">
      <c r="L9" s="10"/>
      <c r="M9" s="11"/>
      <c r="N9" s="11"/>
      <c r="O9" s="11"/>
      <c r="P9" s="11">
        <f>P7/((L8*5)-(L8*1))*100</f>
        <v>0</v>
      </c>
      <c r="Q9" s="41" t="s">
        <v>82</v>
      </c>
      <c r="R9" s="11"/>
      <c r="S9" s="11"/>
      <c r="T9" s="11"/>
      <c r="U9" s="12"/>
    </row>
    <row r="10" spans="1:28" x14ac:dyDescent="0.2">
      <c r="A10" s="3"/>
      <c r="B10" s="84" t="s">
        <v>199</v>
      </c>
      <c r="C10" s="84"/>
      <c r="D10" s="84"/>
      <c r="E10" s="84"/>
      <c r="F10" s="84"/>
      <c r="G10" s="84"/>
      <c r="H10" s="84"/>
      <c r="I10" s="84"/>
      <c r="J10" s="84"/>
      <c r="K10" s="84"/>
      <c r="L10" s="84"/>
      <c r="M10" s="84"/>
      <c r="N10" s="84"/>
      <c r="O10" s="84"/>
      <c r="P10" s="84"/>
      <c r="Q10" s="84"/>
      <c r="R10" s="84"/>
      <c r="S10" s="84"/>
      <c r="T10" s="84"/>
      <c r="U10" s="84"/>
      <c r="W10" s="25" t="s">
        <v>10</v>
      </c>
      <c r="X10" s="35"/>
      <c r="Y10" s="4"/>
      <c r="Z10" s="4"/>
      <c r="AA10" s="4"/>
      <c r="AB10" s="5"/>
    </row>
    <row r="11" spans="1:28" x14ac:dyDescent="0.2">
      <c r="A11" s="89" t="s">
        <v>200</v>
      </c>
      <c r="B11" s="27">
        <v>1</v>
      </c>
      <c r="C11" s="27">
        <v>2</v>
      </c>
      <c r="D11" s="27">
        <v>3</v>
      </c>
      <c r="E11" s="27">
        <v>4</v>
      </c>
      <c r="F11" s="27">
        <v>5</v>
      </c>
      <c r="G11" s="27">
        <v>6</v>
      </c>
      <c r="H11" s="27">
        <v>7</v>
      </c>
      <c r="I11" s="27">
        <v>8</v>
      </c>
      <c r="J11" s="27">
        <v>9</v>
      </c>
      <c r="K11" s="27">
        <v>10</v>
      </c>
      <c r="L11" s="27">
        <v>11</v>
      </c>
      <c r="M11" s="27">
        <v>12</v>
      </c>
      <c r="N11" s="27">
        <v>13</v>
      </c>
      <c r="O11" s="27">
        <v>14</v>
      </c>
      <c r="P11" s="27">
        <v>15</v>
      </c>
      <c r="Q11" s="27">
        <v>16</v>
      </c>
      <c r="R11" s="27">
        <v>17</v>
      </c>
      <c r="S11" s="27">
        <v>18</v>
      </c>
      <c r="T11" s="27">
        <v>19</v>
      </c>
      <c r="U11" s="27">
        <v>20</v>
      </c>
      <c r="V11" s="90" t="s">
        <v>68</v>
      </c>
      <c r="W11" s="26" t="s">
        <v>33</v>
      </c>
      <c r="X11" s="9" t="s">
        <v>34</v>
      </c>
      <c r="Y11" s="34" t="s">
        <v>67</v>
      </c>
      <c r="Z11" s="7"/>
      <c r="AA11" s="7"/>
      <c r="AB11" s="8"/>
    </row>
    <row r="12" spans="1:28" x14ac:dyDescent="0.2">
      <c r="A12" s="27">
        <v>41</v>
      </c>
      <c r="B12" s="78"/>
      <c r="C12" s="78"/>
      <c r="D12" s="78"/>
      <c r="E12" s="78"/>
      <c r="F12" s="78"/>
      <c r="G12" s="78"/>
      <c r="H12" s="78"/>
      <c r="I12" s="78"/>
      <c r="J12" s="78"/>
      <c r="K12" s="78"/>
      <c r="L12" s="78"/>
      <c r="M12" s="30"/>
      <c r="N12" s="30"/>
      <c r="O12" s="30"/>
      <c r="P12" s="30"/>
      <c r="Q12" s="30"/>
      <c r="R12" s="30"/>
      <c r="S12" s="30"/>
      <c r="T12" s="30"/>
      <c r="U12" s="30"/>
      <c r="V12" s="30">
        <f t="shared" ref="V12:V21" si="0">SUM(B12:U12)</f>
        <v>0</v>
      </c>
      <c r="W12" s="36">
        <f>V12/L4*20</f>
        <v>0</v>
      </c>
      <c r="X12" s="37">
        <f t="shared" ref="X12:X21" si="1">100-(AB42*2)</f>
        <v>100</v>
      </c>
      <c r="Y12" s="68" t="s">
        <v>160</v>
      </c>
      <c r="Z12" s="7"/>
      <c r="AA12" s="7"/>
      <c r="AB12" s="8"/>
    </row>
    <row r="13" spans="1:28" x14ac:dyDescent="0.2">
      <c r="A13" s="27">
        <v>42</v>
      </c>
      <c r="B13" s="30"/>
      <c r="C13" s="30"/>
      <c r="D13" s="30"/>
      <c r="E13" s="30"/>
      <c r="F13" s="30"/>
      <c r="G13" s="30"/>
      <c r="H13" s="30"/>
      <c r="I13" s="30"/>
      <c r="J13" s="30"/>
      <c r="K13" s="30"/>
      <c r="L13" s="30"/>
      <c r="M13" s="30"/>
      <c r="N13" s="30"/>
      <c r="O13" s="30"/>
      <c r="P13" s="30"/>
      <c r="Q13" s="30"/>
      <c r="R13" s="30"/>
      <c r="S13" s="30"/>
      <c r="T13" s="30"/>
      <c r="U13" s="30"/>
      <c r="V13" s="30">
        <f t="shared" si="0"/>
        <v>0</v>
      </c>
      <c r="W13" s="36">
        <f>V13/L4*20</f>
        <v>0</v>
      </c>
      <c r="X13" s="37">
        <f t="shared" si="1"/>
        <v>100</v>
      </c>
      <c r="Y13" s="68" t="s">
        <v>161</v>
      </c>
      <c r="Z13" s="7"/>
      <c r="AA13" s="7"/>
      <c r="AB13" s="8"/>
    </row>
    <row r="14" spans="1:28" x14ac:dyDescent="0.2">
      <c r="A14" s="27">
        <v>43</v>
      </c>
      <c r="B14" s="30"/>
      <c r="C14" s="30"/>
      <c r="D14" s="30"/>
      <c r="E14" s="30"/>
      <c r="F14" s="30"/>
      <c r="G14" s="30"/>
      <c r="H14" s="30"/>
      <c r="I14" s="30"/>
      <c r="J14" s="30"/>
      <c r="K14" s="30"/>
      <c r="L14" s="30"/>
      <c r="M14" s="30"/>
      <c r="N14" s="30"/>
      <c r="O14" s="30"/>
      <c r="P14" s="30"/>
      <c r="Q14" s="30"/>
      <c r="R14" s="30"/>
      <c r="S14" s="30"/>
      <c r="T14" s="30"/>
      <c r="U14" s="30"/>
      <c r="V14" s="30">
        <f t="shared" si="0"/>
        <v>0</v>
      </c>
      <c r="W14" s="36">
        <f>V14/L4*20</f>
        <v>0</v>
      </c>
      <c r="X14" s="37">
        <f t="shared" si="1"/>
        <v>100</v>
      </c>
      <c r="Y14" s="68" t="s">
        <v>162</v>
      </c>
      <c r="Z14" s="7"/>
      <c r="AA14" s="7"/>
      <c r="AB14" s="8"/>
    </row>
    <row r="15" spans="1:28" x14ac:dyDescent="0.2">
      <c r="A15" s="27">
        <v>44</v>
      </c>
      <c r="B15" s="30"/>
      <c r="C15" s="30"/>
      <c r="D15" s="30"/>
      <c r="E15" s="30"/>
      <c r="F15" s="30"/>
      <c r="G15" s="30"/>
      <c r="H15" s="30"/>
      <c r="I15" s="30"/>
      <c r="J15" s="30"/>
      <c r="K15" s="30"/>
      <c r="L15" s="30"/>
      <c r="M15" s="30"/>
      <c r="N15" s="30"/>
      <c r="O15" s="30"/>
      <c r="P15" s="30"/>
      <c r="Q15" s="30"/>
      <c r="R15" s="30"/>
      <c r="S15" s="30"/>
      <c r="T15" s="30"/>
      <c r="U15" s="30"/>
      <c r="V15" s="30">
        <f t="shared" si="0"/>
        <v>0</v>
      </c>
      <c r="W15" s="36">
        <f>V15/L4*20</f>
        <v>0</v>
      </c>
      <c r="X15" s="37">
        <f t="shared" si="1"/>
        <v>100</v>
      </c>
      <c r="Y15" s="68" t="s">
        <v>163</v>
      </c>
      <c r="Z15" s="7"/>
      <c r="AA15" s="7"/>
      <c r="AB15" s="8"/>
    </row>
    <row r="16" spans="1:28" x14ac:dyDescent="0.2">
      <c r="A16" s="27">
        <v>45</v>
      </c>
      <c r="B16" s="30"/>
      <c r="C16" s="30"/>
      <c r="D16" s="30"/>
      <c r="E16" s="30"/>
      <c r="F16" s="30"/>
      <c r="G16" s="30"/>
      <c r="H16" s="30"/>
      <c r="I16" s="30"/>
      <c r="J16" s="30"/>
      <c r="K16" s="30"/>
      <c r="L16" s="30"/>
      <c r="M16" s="30"/>
      <c r="N16" s="30"/>
      <c r="O16" s="30"/>
      <c r="P16" s="30"/>
      <c r="Q16" s="30"/>
      <c r="R16" s="30"/>
      <c r="S16" s="30"/>
      <c r="T16" s="30"/>
      <c r="U16" s="30"/>
      <c r="V16" s="30">
        <f t="shared" si="0"/>
        <v>0</v>
      </c>
      <c r="W16" s="36">
        <f>V16/L4*20</f>
        <v>0</v>
      </c>
      <c r="X16" s="37">
        <f t="shared" si="1"/>
        <v>100</v>
      </c>
      <c r="Y16" s="68" t="s">
        <v>164</v>
      </c>
      <c r="Z16" s="7"/>
      <c r="AA16" s="7"/>
      <c r="AB16" s="8"/>
    </row>
    <row r="17" spans="1:28" x14ac:dyDescent="0.2">
      <c r="A17" s="27">
        <v>46</v>
      </c>
      <c r="B17" s="30"/>
      <c r="C17" s="30"/>
      <c r="D17" s="30"/>
      <c r="E17" s="30"/>
      <c r="F17" s="30"/>
      <c r="G17" s="30"/>
      <c r="H17" s="30"/>
      <c r="I17" s="30"/>
      <c r="J17" s="30"/>
      <c r="K17" s="30"/>
      <c r="L17" s="30"/>
      <c r="M17" s="30"/>
      <c r="N17" s="30"/>
      <c r="O17" s="30"/>
      <c r="P17" s="30"/>
      <c r="Q17" s="30"/>
      <c r="R17" s="30"/>
      <c r="S17" s="30"/>
      <c r="T17" s="30"/>
      <c r="U17" s="30"/>
      <c r="V17" s="30">
        <f t="shared" si="0"/>
        <v>0</v>
      </c>
      <c r="W17" s="36">
        <f>V17/L4*20</f>
        <v>0</v>
      </c>
      <c r="X17" s="37">
        <f t="shared" si="1"/>
        <v>100</v>
      </c>
      <c r="Y17" s="68" t="s">
        <v>165</v>
      </c>
      <c r="Z17" s="7"/>
      <c r="AA17" s="7"/>
      <c r="AB17" s="8"/>
    </row>
    <row r="18" spans="1:28" x14ac:dyDescent="0.2">
      <c r="A18" s="27">
        <v>47</v>
      </c>
      <c r="B18" s="30"/>
      <c r="C18" s="30"/>
      <c r="D18" s="30"/>
      <c r="E18" s="30"/>
      <c r="F18" s="30"/>
      <c r="G18" s="30"/>
      <c r="H18" s="30"/>
      <c r="I18" s="30"/>
      <c r="J18" s="30"/>
      <c r="K18" s="30"/>
      <c r="L18" s="30"/>
      <c r="M18" s="30"/>
      <c r="N18" s="30"/>
      <c r="O18" s="30"/>
      <c r="P18" s="30"/>
      <c r="Q18" s="30"/>
      <c r="R18" s="30"/>
      <c r="S18" s="30"/>
      <c r="T18" s="30"/>
      <c r="U18" s="30"/>
      <c r="V18" s="30">
        <f t="shared" si="0"/>
        <v>0</v>
      </c>
      <c r="W18" s="36">
        <f>V18/L4*20</f>
        <v>0</v>
      </c>
      <c r="X18" s="37">
        <f t="shared" si="1"/>
        <v>100</v>
      </c>
      <c r="Y18" s="68" t="s">
        <v>166</v>
      </c>
      <c r="Z18" s="7"/>
      <c r="AA18" s="7"/>
      <c r="AB18" s="8"/>
    </row>
    <row r="19" spans="1:28" x14ac:dyDescent="0.2">
      <c r="A19" s="27">
        <v>48</v>
      </c>
      <c r="B19" s="30"/>
      <c r="C19" s="30"/>
      <c r="D19" s="30"/>
      <c r="E19" s="30"/>
      <c r="F19" s="30"/>
      <c r="G19" s="30"/>
      <c r="H19" s="30"/>
      <c r="I19" s="30"/>
      <c r="J19" s="30"/>
      <c r="K19" s="30"/>
      <c r="L19" s="30"/>
      <c r="M19" s="30"/>
      <c r="N19" s="30"/>
      <c r="O19" s="30"/>
      <c r="P19" s="30"/>
      <c r="Q19" s="30"/>
      <c r="R19" s="30"/>
      <c r="S19" s="30"/>
      <c r="T19" s="30"/>
      <c r="U19" s="30"/>
      <c r="V19" s="30">
        <f t="shared" si="0"/>
        <v>0</v>
      </c>
      <c r="W19" s="36">
        <f>V19/L4*20</f>
        <v>0</v>
      </c>
      <c r="X19" s="37">
        <f t="shared" si="1"/>
        <v>100</v>
      </c>
      <c r="Y19" s="68" t="s">
        <v>167</v>
      </c>
      <c r="Z19" s="7"/>
      <c r="AA19" s="7"/>
      <c r="AB19" s="8"/>
    </row>
    <row r="20" spans="1:28" x14ac:dyDescent="0.2">
      <c r="A20" s="27">
        <v>49</v>
      </c>
      <c r="B20" s="30"/>
      <c r="C20" s="30"/>
      <c r="D20" s="30"/>
      <c r="E20" s="30"/>
      <c r="F20" s="30"/>
      <c r="G20" s="30"/>
      <c r="H20" s="30"/>
      <c r="I20" s="30"/>
      <c r="J20" s="30"/>
      <c r="K20" s="30"/>
      <c r="L20" s="30"/>
      <c r="M20" s="30"/>
      <c r="N20" s="30"/>
      <c r="O20" s="30"/>
      <c r="P20" s="30"/>
      <c r="Q20" s="30"/>
      <c r="R20" s="30"/>
      <c r="S20" s="30"/>
      <c r="T20" s="30"/>
      <c r="U20" s="30"/>
      <c r="V20" s="30">
        <f t="shared" si="0"/>
        <v>0</v>
      </c>
      <c r="W20" s="36">
        <f>V20/L4*20</f>
        <v>0</v>
      </c>
      <c r="X20" s="37">
        <f t="shared" si="1"/>
        <v>100</v>
      </c>
      <c r="Y20" s="68" t="s">
        <v>168</v>
      </c>
      <c r="Z20" s="7"/>
      <c r="AA20" s="7"/>
      <c r="AB20" s="8"/>
    </row>
    <row r="21" spans="1:28" x14ac:dyDescent="0.2">
      <c r="A21" s="27">
        <v>50</v>
      </c>
      <c r="B21" s="30"/>
      <c r="C21" s="30"/>
      <c r="D21" s="30"/>
      <c r="E21" s="30"/>
      <c r="F21" s="30"/>
      <c r="G21" s="30"/>
      <c r="H21" s="30"/>
      <c r="I21" s="30"/>
      <c r="J21" s="30"/>
      <c r="K21" s="30"/>
      <c r="L21" s="30"/>
      <c r="M21" s="30"/>
      <c r="N21" s="30"/>
      <c r="O21" s="30"/>
      <c r="P21" s="30"/>
      <c r="Q21" s="30"/>
      <c r="R21" s="30"/>
      <c r="S21" s="30"/>
      <c r="T21" s="30"/>
      <c r="U21" s="30"/>
      <c r="V21" s="30">
        <f t="shared" si="0"/>
        <v>0</v>
      </c>
      <c r="W21" s="36">
        <f>V21/L4*20</f>
        <v>0</v>
      </c>
      <c r="X21" s="37">
        <f t="shared" si="1"/>
        <v>100</v>
      </c>
      <c r="Y21" s="61" t="s">
        <v>169</v>
      </c>
      <c r="Z21" s="7"/>
      <c r="AA21" s="7"/>
      <c r="AB21" s="8"/>
    </row>
    <row r="22" spans="1:28" x14ac:dyDescent="0.2">
      <c r="A22" s="27"/>
      <c r="B22" s="30"/>
      <c r="C22" s="30"/>
      <c r="D22" s="30"/>
      <c r="E22" s="30"/>
      <c r="F22" s="30"/>
      <c r="G22" s="30"/>
      <c r="H22" s="30"/>
      <c r="I22" s="30"/>
      <c r="J22" s="30"/>
      <c r="K22" s="30"/>
      <c r="L22" s="30"/>
      <c r="M22" s="30"/>
      <c r="N22" s="30"/>
      <c r="O22" s="30"/>
      <c r="P22" s="30"/>
      <c r="Q22" s="30"/>
      <c r="R22" s="30"/>
      <c r="S22" s="30"/>
      <c r="T22" s="30"/>
      <c r="U22" s="30"/>
      <c r="V22" s="30"/>
      <c r="W22" s="36"/>
      <c r="X22" s="37"/>
      <c r="Y22" s="44"/>
      <c r="Z22" s="7"/>
      <c r="AA22" s="7"/>
      <c r="AB22" s="8"/>
    </row>
    <row r="23" spans="1:28" x14ac:dyDescent="0.2">
      <c r="A23" s="27"/>
      <c r="B23" s="30"/>
      <c r="C23" s="30"/>
      <c r="D23" s="30"/>
      <c r="E23" s="30"/>
      <c r="F23" s="30"/>
      <c r="G23" s="30"/>
      <c r="H23" s="30"/>
      <c r="I23" s="30"/>
      <c r="J23" s="30"/>
      <c r="K23" s="30"/>
      <c r="L23" s="30"/>
      <c r="M23" s="30"/>
      <c r="N23" s="30"/>
      <c r="O23" s="30"/>
      <c r="P23" s="30"/>
      <c r="Q23" s="30"/>
      <c r="R23" s="30"/>
      <c r="S23" s="30"/>
      <c r="T23" s="30"/>
      <c r="U23" s="30"/>
      <c r="V23" s="30"/>
      <c r="W23" s="38"/>
      <c r="X23" s="39"/>
      <c r="Y23" s="45"/>
      <c r="Z23" s="11"/>
      <c r="AA23" s="11"/>
      <c r="AB23" s="12"/>
    </row>
    <row r="24" spans="1:28" x14ac:dyDescent="0.2">
      <c r="A24" s="27" t="s">
        <v>127</v>
      </c>
      <c r="B24" s="30">
        <f t="shared" ref="B24:U24" si="2">SUM(B12:B23)</f>
        <v>0</v>
      </c>
      <c r="C24" s="30">
        <f t="shared" si="2"/>
        <v>0</v>
      </c>
      <c r="D24" s="30">
        <f t="shared" si="2"/>
        <v>0</v>
      </c>
      <c r="E24" s="30">
        <f t="shared" si="2"/>
        <v>0</v>
      </c>
      <c r="F24" s="30">
        <f t="shared" si="2"/>
        <v>0</v>
      </c>
      <c r="G24" s="30">
        <f t="shared" si="2"/>
        <v>0</v>
      </c>
      <c r="H24" s="30">
        <f t="shared" si="2"/>
        <v>0</v>
      </c>
      <c r="I24" s="30">
        <f t="shared" si="2"/>
        <v>0</v>
      </c>
      <c r="J24" s="30">
        <f t="shared" si="2"/>
        <v>0</v>
      </c>
      <c r="K24" s="30">
        <f t="shared" si="2"/>
        <v>0</v>
      </c>
      <c r="L24" s="30">
        <f t="shared" si="2"/>
        <v>0</v>
      </c>
      <c r="M24" s="30">
        <f t="shared" si="2"/>
        <v>0</v>
      </c>
      <c r="N24" s="30">
        <f t="shared" si="2"/>
        <v>0</v>
      </c>
      <c r="O24" s="30">
        <f t="shared" si="2"/>
        <v>0</v>
      </c>
      <c r="P24" s="30">
        <f t="shared" si="2"/>
        <v>0</v>
      </c>
      <c r="Q24" s="30">
        <f t="shared" si="2"/>
        <v>0</v>
      </c>
      <c r="R24" s="30">
        <f t="shared" si="2"/>
        <v>0</v>
      </c>
      <c r="S24" s="30">
        <f t="shared" si="2"/>
        <v>0</v>
      </c>
      <c r="T24" s="30">
        <f t="shared" si="2"/>
        <v>0</v>
      </c>
      <c r="U24" s="30">
        <f t="shared" si="2"/>
        <v>0</v>
      </c>
      <c r="V24" s="30">
        <f>SUM(B24:U24)</f>
        <v>0</v>
      </c>
    </row>
    <row r="25" spans="1:28" x14ac:dyDescent="0.2">
      <c r="A25" s="27" t="s">
        <v>128</v>
      </c>
      <c r="B25" s="31">
        <f t="shared" ref="B25:U25" si="3">B24*B24</f>
        <v>0</v>
      </c>
      <c r="C25" s="31">
        <f t="shared" si="3"/>
        <v>0</v>
      </c>
      <c r="D25" s="31">
        <f t="shared" si="3"/>
        <v>0</v>
      </c>
      <c r="E25" s="31">
        <f t="shared" si="3"/>
        <v>0</v>
      </c>
      <c r="F25" s="31">
        <f t="shared" si="3"/>
        <v>0</v>
      </c>
      <c r="G25" s="31">
        <f t="shared" si="3"/>
        <v>0</v>
      </c>
      <c r="H25" s="31">
        <f t="shared" si="3"/>
        <v>0</v>
      </c>
      <c r="I25" s="31">
        <f t="shared" si="3"/>
        <v>0</v>
      </c>
      <c r="J25" s="31">
        <f t="shared" si="3"/>
        <v>0</v>
      </c>
      <c r="K25" s="31">
        <f t="shared" si="3"/>
        <v>0</v>
      </c>
      <c r="L25" s="31">
        <f t="shared" si="3"/>
        <v>0</v>
      </c>
      <c r="M25" s="31">
        <f t="shared" si="3"/>
        <v>0</v>
      </c>
      <c r="N25" s="31">
        <f t="shared" si="3"/>
        <v>0</v>
      </c>
      <c r="O25" s="31">
        <f t="shared" si="3"/>
        <v>0</v>
      </c>
      <c r="P25" s="31">
        <f t="shared" si="3"/>
        <v>0</v>
      </c>
      <c r="Q25" s="31">
        <f t="shared" si="3"/>
        <v>0</v>
      </c>
      <c r="R25" s="31">
        <f t="shared" si="3"/>
        <v>0</v>
      </c>
      <c r="S25" s="31">
        <f t="shared" si="3"/>
        <v>0</v>
      </c>
      <c r="T25" s="31">
        <f t="shared" si="3"/>
        <v>0</v>
      </c>
      <c r="U25" s="31">
        <f t="shared" si="3"/>
        <v>0</v>
      </c>
      <c r="V25" s="31">
        <f>SUM(B25:U25)</f>
        <v>0</v>
      </c>
      <c r="W25" t="s">
        <v>12</v>
      </c>
      <c r="X25" s="2"/>
    </row>
    <row r="40" spans="1:28" x14ac:dyDescent="0.2">
      <c r="A40" s="2" t="s">
        <v>23</v>
      </c>
    </row>
    <row r="41" spans="1:28" x14ac:dyDescent="0.2">
      <c r="A41" s="27" t="s">
        <v>1</v>
      </c>
      <c r="B41" s="30" t="s">
        <v>112</v>
      </c>
      <c r="C41" s="30" t="s">
        <v>113</v>
      </c>
      <c r="D41" s="30" t="s">
        <v>114</v>
      </c>
      <c r="E41" s="30" t="s">
        <v>115</v>
      </c>
      <c r="F41" s="30" t="s">
        <v>116</v>
      </c>
      <c r="G41" s="30" t="s">
        <v>117</v>
      </c>
      <c r="H41" s="30" t="s">
        <v>118</v>
      </c>
      <c r="I41" s="30" t="s">
        <v>119</v>
      </c>
      <c r="J41" s="30" t="s">
        <v>120</v>
      </c>
      <c r="K41" s="30" t="s">
        <v>121</v>
      </c>
      <c r="L41" s="30" t="s">
        <v>122</v>
      </c>
      <c r="M41" s="30" t="s">
        <v>123</v>
      </c>
      <c r="N41" s="30" t="s">
        <v>124</v>
      </c>
      <c r="O41" s="30" t="s">
        <v>125</v>
      </c>
      <c r="P41" s="30" t="s">
        <v>126</v>
      </c>
      <c r="Q41" s="30" t="s">
        <v>15</v>
      </c>
      <c r="R41" s="30" t="s">
        <v>17</v>
      </c>
      <c r="S41" s="30" t="s">
        <v>18</v>
      </c>
      <c r="T41" s="30" t="s">
        <v>19</v>
      </c>
      <c r="U41" s="30" t="s">
        <v>20</v>
      </c>
      <c r="V41" t="s">
        <v>24</v>
      </c>
      <c r="W41" t="s">
        <v>13</v>
      </c>
      <c r="X41" t="s">
        <v>14</v>
      </c>
      <c r="Y41" t="s">
        <v>124</v>
      </c>
      <c r="Z41" t="s">
        <v>15</v>
      </c>
      <c r="AA41" t="s">
        <v>21</v>
      </c>
      <c r="AB41" t="s">
        <v>7</v>
      </c>
    </row>
    <row r="42" spans="1:28" x14ac:dyDescent="0.2">
      <c r="A42" s="27">
        <f>A12</f>
        <v>41</v>
      </c>
      <c r="B42" s="30">
        <f t="shared" ref="B42:U42" si="4">B12*B12</f>
        <v>0</v>
      </c>
      <c r="C42" s="30">
        <f t="shared" si="4"/>
        <v>0</v>
      </c>
      <c r="D42" s="30">
        <f t="shared" si="4"/>
        <v>0</v>
      </c>
      <c r="E42" s="30">
        <f t="shared" si="4"/>
        <v>0</v>
      </c>
      <c r="F42" s="30">
        <f t="shared" si="4"/>
        <v>0</v>
      </c>
      <c r="G42" s="30">
        <f t="shared" si="4"/>
        <v>0</v>
      </c>
      <c r="H42" s="30">
        <f t="shared" si="4"/>
        <v>0</v>
      </c>
      <c r="I42" s="30">
        <f t="shared" si="4"/>
        <v>0</v>
      </c>
      <c r="J42" s="30">
        <f t="shared" si="4"/>
        <v>0</v>
      </c>
      <c r="K42" s="30">
        <f t="shared" si="4"/>
        <v>0</v>
      </c>
      <c r="L42" s="30">
        <f t="shared" si="4"/>
        <v>0</v>
      </c>
      <c r="M42" s="30">
        <f t="shared" si="4"/>
        <v>0</v>
      </c>
      <c r="N42" s="30">
        <f t="shared" si="4"/>
        <v>0</v>
      </c>
      <c r="O42" s="30">
        <f t="shared" si="4"/>
        <v>0</v>
      </c>
      <c r="P42" s="30">
        <f t="shared" si="4"/>
        <v>0</v>
      </c>
      <c r="Q42" s="30">
        <f t="shared" si="4"/>
        <v>0</v>
      </c>
      <c r="R42" s="30">
        <f t="shared" si="4"/>
        <v>0</v>
      </c>
      <c r="S42" s="30">
        <f t="shared" si="4"/>
        <v>0</v>
      </c>
      <c r="T42" s="30">
        <f t="shared" si="4"/>
        <v>0</v>
      </c>
      <c r="U42" s="30">
        <f t="shared" si="4"/>
        <v>0</v>
      </c>
      <c r="V42">
        <f t="shared" ref="V42:V51" si="5">SUM(B42:U42)</f>
        <v>0</v>
      </c>
      <c r="W42">
        <f t="shared" ref="W42:W51" si="6">V12*V12</f>
        <v>0</v>
      </c>
      <c r="X42">
        <f>L4*(L4-1)</f>
        <v>380</v>
      </c>
      <c r="Y42">
        <f>L4*V42-W42</f>
        <v>0</v>
      </c>
      <c r="Z42">
        <f t="shared" ref="Z42:Z51" si="7">Y42/X42</f>
        <v>0</v>
      </c>
      <c r="AA42">
        <f t="shared" ref="AA42:AA51" si="8">SQRT(Z42)</f>
        <v>0</v>
      </c>
      <c r="AB42">
        <f t="shared" ref="AB42:AB51" si="9">AA42/4*100</f>
        <v>0</v>
      </c>
    </row>
    <row r="43" spans="1:28" x14ac:dyDescent="0.2">
      <c r="A43" s="27">
        <f t="shared" ref="A43:A51" si="10">A13</f>
        <v>42</v>
      </c>
      <c r="B43" s="30">
        <f t="shared" ref="B43:U43" si="11">B13*B13</f>
        <v>0</v>
      </c>
      <c r="C43" s="30">
        <f t="shared" si="11"/>
        <v>0</v>
      </c>
      <c r="D43" s="30">
        <f t="shared" si="11"/>
        <v>0</v>
      </c>
      <c r="E43" s="30">
        <f t="shared" si="11"/>
        <v>0</v>
      </c>
      <c r="F43" s="30">
        <f t="shared" si="11"/>
        <v>0</v>
      </c>
      <c r="G43" s="30">
        <f t="shared" si="11"/>
        <v>0</v>
      </c>
      <c r="H43" s="30">
        <f t="shared" si="11"/>
        <v>0</v>
      </c>
      <c r="I43" s="30">
        <f t="shared" si="11"/>
        <v>0</v>
      </c>
      <c r="J43" s="30">
        <f t="shared" si="11"/>
        <v>0</v>
      </c>
      <c r="K43" s="30">
        <f t="shared" si="11"/>
        <v>0</v>
      </c>
      <c r="L43" s="30">
        <f t="shared" si="11"/>
        <v>0</v>
      </c>
      <c r="M43" s="30">
        <f t="shared" si="11"/>
        <v>0</v>
      </c>
      <c r="N43" s="30">
        <f t="shared" si="11"/>
        <v>0</v>
      </c>
      <c r="O43" s="30">
        <f t="shared" si="11"/>
        <v>0</v>
      </c>
      <c r="P43" s="30">
        <f t="shared" si="11"/>
        <v>0</v>
      </c>
      <c r="Q43" s="30">
        <f t="shared" si="11"/>
        <v>0</v>
      </c>
      <c r="R43" s="30">
        <f t="shared" si="11"/>
        <v>0</v>
      </c>
      <c r="S43" s="30">
        <f t="shared" si="11"/>
        <v>0</v>
      </c>
      <c r="T43" s="30">
        <f t="shared" si="11"/>
        <v>0</v>
      </c>
      <c r="U43" s="30">
        <f t="shared" si="11"/>
        <v>0</v>
      </c>
      <c r="V43">
        <f t="shared" si="5"/>
        <v>0</v>
      </c>
      <c r="W43">
        <f t="shared" si="6"/>
        <v>0</v>
      </c>
      <c r="X43">
        <f>L4*(L4-1)</f>
        <v>380</v>
      </c>
      <c r="Y43">
        <f>L4*V43-W43</f>
        <v>0</v>
      </c>
      <c r="Z43">
        <f t="shared" si="7"/>
        <v>0</v>
      </c>
      <c r="AA43">
        <f t="shared" si="8"/>
        <v>0</v>
      </c>
      <c r="AB43">
        <f t="shared" si="9"/>
        <v>0</v>
      </c>
    </row>
    <row r="44" spans="1:28" x14ac:dyDescent="0.2">
      <c r="A44" s="27">
        <f t="shared" si="10"/>
        <v>43</v>
      </c>
      <c r="B44" s="30">
        <f t="shared" ref="B44:U44" si="12">B14*B14</f>
        <v>0</v>
      </c>
      <c r="C44" s="30">
        <f t="shared" si="12"/>
        <v>0</v>
      </c>
      <c r="D44" s="30">
        <f t="shared" si="12"/>
        <v>0</v>
      </c>
      <c r="E44" s="30">
        <f t="shared" si="12"/>
        <v>0</v>
      </c>
      <c r="F44" s="30">
        <f t="shared" si="12"/>
        <v>0</v>
      </c>
      <c r="G44" s="30">
        <f t="shared" si="12"/>
        <v>0</v>
      </c>
      <c r="H44" s="30">
        <f t="shared" si="12"/>
        <v>0</v>
      </c>
      <c r="I44" s="30">
        <f t="shared" si="12"/>
        <v>0</v>
      </c>
      <c r="J44" s="30">
        <f t="shared" si="12"/>
        <v>0</v>
      </c>
      <c r="K44" s="30">
        <f t="shared" si="12"/>
        <v>0</v>
      </c>
      <c r="L44" s="30">
        <f t="shared" si="12"/>
        <v>0</v>
      </c>
      <c r="M44" s="30">
        <f t="shared" si="12"/>
        <v>0</v>
      </c>
      <c r="N44" s="30">
        <f t="shared" si="12"/>
        <v>0</v>
      </c>
      <c r="O44" s="30">
        <f t="shared" si="12"/>
        <v>0</v>
      </c>
      <c r="P44" s="30">
        <f t="shared" si="12"/>
        <v>0</v>
      </c>
      <c r="Q44" s="30">
        <f t="shared" si="12"/>
        <v>0</v>
      </c>
      <c r="R44" s="30">
        <f t="shared" si="12"/>
        <v>0</v>
      </c>
      <c r="S44" s="30">
        <f t="shared" si="12"/>
        <v>0</v>
      </c>
      <c r="T44" s="30">
        <f t="shared" si="12"/>
        <v>0</v>
      </c>
      <c r="U44" s="30">
        <f t="shared" si="12"/>
        <v>0</v>
      </c>
      <c r="V44">
        <f t="shared" si="5"/>
        <v>0</v>
      </c>
      <c r="W44">
        <f t="shared" si="6"/>
        <v>0</v>
      </c>
      <c r="X44">
        <f>L4*(L4-1)</f>
        <v>380</v>
      </c>
      <c r="Y44">
        <f>L4*V44-W44</f>
        <v>0</v>
      </c>
      <c r="Z44">
        <f t="shared" si="7"/>
        <v>0</v>
      </c>
      <c r="AA44">
        <f t="shared" si="8"/>
        <v>0</v>
      </c>
      <c r="AB44">
        <f t="shared" si="9"/>
        <v>0</v>
      </c>
    </row>
    <row r="45" spans="1:28" x14ac:dyDescent="0.2">
      <c r="A45" s="27">
        <f t="shared" si="10"/>
        <v>44</v>
      </c>
      <c r="B45" s="30">
        <f t="shared" ref="B45:U45" si="13">B15*B15</f>
        <v>0</v>
      </c>
      <c r="C45" s="30">
        <f t="shared" si="13"/>
        <v>0</v>
      </c>
      <c r="D45" s="30">
        <f t="shared" si="13"/>
        <v>0</v>
      </c>
      <c r="E45" s="30">
        <f t="shared" si="13"/>
        <v>0</v>
      </c>
      <c r="F45" s="30">
        <f t="shared" si="13"/>
        <v>0</v>
      </c>
      <c r="G45" s="30">
        <f t="shared" si="13"/>
        <v>0</v>
      </c>
      <c r="H45" s="30">
        <f t="shared" si="13"/>
        <v>0</v>
      </c>
      <c r="I45" s="30">
        <f t="shared" si="13"/>
        <v>0</v>
      </c>
      <c r="J45" s="30">
        <f t="shared" si="13"/>
        <v>0</v>
      </c>
      <c r="K45" s="30">
        <f t="shared" si="13"/>
        <v>0</v>
      </c>
      <c r="L45" s="30">
        <f t="shared" si="13"/>
        <v>0</v>
      </c>
      <c r="M45" s="30">
        <f t="shared" si="13"/>
        <v>0</v>
      </c>
      <c r="N45" s="30">
        <f t="shared" si="13"/>
        <v>0</v>
      </c>
      <c r="O45" s="30">
        <f t="shared" si="13"/>
        <v>0</v>
      </c>
      <c r="P45" s="30">
        <f t="shared" si="13"/>
        <v>0</v>
      </c>
      <c r="Q45" s="30">
        <f t="shared" si="13"/>
        <v>0</v>
      </c>
      <c r="R45" s="30">
        <f t="shared" si="13"/>
        <v>0</v>
      </c>
      <c r="S45" s="30">
        <f t="shared" si="13"/>
        <v>0</v>
      </c>
      <c r="T45" s="30">
        <f t="shared" si="13"/>
        <v>0</v>
      </c>
      <c r="U45" s="30">
        <f t="shared" si="13"/>
        <v>0</v>
      </c>
      <c r="V45">
        <f t="shared" si="5"/>
        <v>0</v>
      </c>
      <c r="W45">
        <f t="shared" si="6"/>
        <v>0</v>
      </c>
      <c r="X45">
        <f>L4*(L4-1)</f>
        <v>380</v>
      </c>
      <c r="Y45">
        <f>L4*V45-W45</f>
        <v>0</v>
      </c>
      <c r="Z45">
        <f t="shared" si="7"/>
        <v>0</v>
      </c>
      <c r="AA45">
        <f t="shared" si="8"/>
        <v>0</v>
      </c>
      <c r="AB45">
        <f t="shared" si="9"/>
        <v>0</v>
      </c>
    </row>
    <row r="46" spans="1:28" x14ac:dyDescent="0.2">
      <c r="A46" s="27">
        <f t="shared" si="10"/>
        <v>45</v>
      </c>
      <c r="B46" s="30">
        <f t="shared" ref="B46:U46" si="14">B16*B16</f>
        <v>0</v>
      </c>
      <c r="C46" s="30">
        <f t="shared" si="14"/>
        <v>0</v>
      </c>
      <c r="D46" s="30">
        <f t="shared" si="14"/>
        <v>0</v>
      </c>
      <c r="E46" s="30">
        <f t="shared" si="14"/>
        <v>0</v>
      </c>
      <c r="F46" s="30">
        <f t="shared" si="14"/>
        <v>0</v>
      </c>
      <c r="G46" s="30">
        <f t="shared" si="14"/>
        <v>0</v>
      </c>
      <c r="H46" s="30">
        <f t="shared" si="14"/>
        <v>0</v>
      </c>
      <c r="I46" s="30">
        <f t="shared" si="14"/>
        <v>0</v>
      </c>
      <c r="J46" s="30">
        <f t="shared" si="14"/>
        <v>0</v>
      </c>
      <c r="K46" s="30">
        <f t="shared" si="14"/>
        <v>0</v>
      </c>
      <c r="L46" s="30">
        <f t="shared" si="14"/>
        <v>0</v>
      </c>
      <c r="M46" s="30">
        <f t="shared" si="14"/>
        <v>0</v>
      </c>
      <c r="N46" s="30">
        <f t="shared" si="14"/>
        <v>0</v>
      </c>
      <c r="O46" s="30">
        <f t="shared" si="14"/>
        <v>0</v>
      </c>
      <c r="P46" s="30">
        <f t="shared" si="14"/>
        <v>0</v>
      </c>
      <c r="Q46" s="30">
        <f t="shared" si="14"/>
        <v>0</v>
      </c>
      <c r="R46" s="30">
        <f t="shared" si="14"/>
        <v>0</v>
      </c>
      <c r="S46" s="30">
        <f t="shared" si="14"/>
        <v>0</v>
      </c>
      <c r="T46" s="30">
        <f t="shared" si="14"/>
        <v>0</v>
      </c>
      <c r="U46" s="30">
        <f t="shared" si="14"/>
        <v>0</v>
      </c>
      <c r="V46">
        <f t="shared" si="5"/>
        <v>0</v>
      </c>
      <c r="W46">
        <f t="shared" si="6"/>
        <v>0</v>
      </c>
      <c r="X46">
        <f>L4*(L4-1)</f>
        <v>380</v>
      </c>
      <c r="Y46">
        <f>L4*V46-W46</f>
        <v>0</v>
      </c>
      <c r="Z46">
        <f t="shared" si="7"/>
        <v>0</v>
      </c>
      <c r="AA46">
        <f t="shared" si="8"/>
        <v>0</v>
      </c>
      <c r="AB46">
        <f t="shared" si="9"/>
        <v>0</v>
      </c>
    </row>
    <row r="47" spans="1:28" x14ac:dyDescent="0.2">
      <c r="A47" s="27">
        <f t="shared" si="10"/>
        <v>46</v>
      </c>
      <c r="B47" s="30">
        <f t="shared" ref="B47:U47" si="15">B17*B17</f>
        <v>0</v>
      </c>
      <c r="C47" s="30">
        <f t="shared" si="15"/>
        <v>0</v>
      </c>
      <c r="D47" s="30">
        <f t="shared" si="15"/>
        <v>0</v>
      </c>
      <c r="E47" s="30">
        <f t="shared" si="15"/>
        <v>0</v>
      </c>
      <c r="F47" s="30">
        <f t="shared" si="15"/>
        <v>0</v>
      </c>
      <c r="G47" s="30">
        <f t="shared" si="15"/>
        <v>0</v>
      </c>
      <c r="H47" s="30">
        <f t="shared" si="15"/>
        <v>0</v>
      </c>
      <c r="I47" s="30">
        <f t="shared" si="15"/>
        <v>0</v>
      </c>
      <c r="J47" s="30">
        <f t="shared" si="15"/>
        <v>0</v>
      </c>
      <c r="K47" s="30">
        <f t="shared" si="15"/>
        <v>0</v>
      </c>
      <c r="L47" s="30">
        <f t="shared" si="15"/>
        <v>0</v>
      </c>
      <c r="M47" s="30">
        <f t="shared" si="15"/>
        <v>0</v>
      </c>
      <c r="N47" s="30">
        <f t="shared" si="15"/>
        <v>0</v>
      </c>
      <c r="O47" s="30">
        <f t="shared" si="15"/>
        <v>0</v>
      </c>
      <c r="P47" s="30">
        <f t="shared" si="15"/>
        <v>0</v>
      </c>
      <c r="Q47" s="30">
        <f t="shared" si="15"/>
        <v>0</v>
      </c>
      <c r="R47" s="30">
        <f t="shared" si="15"/>
        <v>0</v>
      </c>
      <c r="S47" s="30">
        <f t="shared" si="15"/>
        <v>0</v>
      </c>
      <c r="T47" s="30">
        <f t="shared" si="15"/>
        <v>0</v>
      </c>
      <c r="U47" s="30">
        <f t="shared" si="15"/>
        <v>0</v>
      </c>
      <c r="V47">
        <f t="shared" si="5"/>
        <v>0</v>
      </c>
      <c r="W47">
        <f t="shared" si="6"/>
        <v>0</v>
      </c>
      <c r="X47">
        <f>L4*(L4-1)</f>
        <v>380</v>
      </c>
      <c r="Y47">
        <f>L4*V47-W47</f>
        <v>0</v>
      </c>
      <c r="Z47">
        <f t="shared" si="7"/>
        <v>0</v>
      </c>
      <c r="AA47">
        <f t="shared" si="8"/>
        <v>0</v>
      </c>
      <c r="AB47">
        <f t="shared" si="9"/>
        <v>0</v>
      </c>
    </row>
    <row r="48" spans="1:28" x14ac:dyDescent="0.2">
      <c r="A48" s="27">
        <f t="shared" si="10"/>
        <v>47</v>
      </c>
      <c r="B48" s="30">
        <f t="shared" ref="B48:U48" si="16">B18*B18</f>
        <v>0</v>
      </c>
      <c r="C48" s="30">
        <f t="shared" si="16"/>
        <v>0</v>
      </c>
      <c r="D48" s="30">
        <f t="shared" si="16"/>
        <v>0</v>
      </c>
      <c r="E48" s="30">
        <f t="shared" si="16"/>
        <v>0</v>
      </c>
      <c r="F48" s="30">
        <f t="shared" si="16"/>
        <v>0</v>
      </c>
      <c r="G48" s="30">
        <f t="shared" si="16"/>
        <v>0</v>
      </c>
      <c r="H48" s="30">
        <f t="shared" si="16"/>
        <v>0</v>
      </c>
      <c r="I48" s="30">
        <f t="shared" si="16"/>
        <v>0</v>
      </c>
      <c r="J48" s="30">
        <f t="shared" si="16"/>
        <v>0</v>
      </c>
      <c r="K48" s="30">
        <f t="shared" si="16"/>
        <v>0</v>
      </c>
      <c r="L48" s="30">
        <f t="shared" si="16"/>
        <v>0</v>
      </c>
      <c r="M48" s="30">
        <f t="shared" si="16"/>
        <v>0</v>
      </c>
      <c r="N48" s="30">
        <f t="shared" si="16"/>
        <v>0</v>
      </c>
      <c r="O48" s="30">
        <f t="shared" si="16"/>
        <v>0</v>
      </c>
      <c r="P48" s="30">
        <f t="shared" si="16"/>
        <v>0</v>
      </c>
      <c r="Q48" s="30">
        <f t="shared" si="16"/>
        <v>0</v>
      </c>
      <c r="R48" s="30">
        <f t="shared" si="16"/>
        <v>0</v>
      </c>
      <c r="S48" s="30">
        <f t="shared" si="16"/>
        <v>0</v>
      </c>
      <c r="T48" s="30">
        <f t="shared" si="16"/>
        <v>0</v>
      </c>
      <c r="U48" s="30">
        <f t="shared" si="16"/>
        <v>0</v>
      </c>
      <c r="V48">
        <f t="shared" si="5"/>
        <v>0</v>
      </c>
      <c r="W48">
        <f t="shared" si="6"/>
        <v>0</v>
      </c>
      <c r="X48">
        <f>L4*(L4-1)</f>
        <v>380</v>
      </c>
      <c r="Y48">
        <f>L4*V48-W48</f>
        <v>0</v>
      </c>
      <c r="Z48">
        <f t="shared" si="7"/>
        <v>0</v>
      </c>
      <c r="AA48">
        <f t="shared" si="8"/>
        <v>0</v>
      </c>
      <c r="AB48">
        <f t="shared" si="9"/>
        <v>0</v>
      </c>
    </row>
    <row r="49" spans="1:28" x14ac:dyDescent="0.2">
      <c r="A49" s="27">
        <f t="shared" si="10"/>
        <v>48</v>
      </c>
      <c r="B49" s="30">
        <f t="shared" ref="B49:U49" si="17">B19*B19</f>
        <v>0</v>
      </c>
      <c r="C49" s="30">
        <f t="shared" si="17"/>
        <v>0</v>
      </c>
      <c r="D49" s="30">
        <f t="shared" si="17"/>
        <v>0</v>
      </c>
      <c r="E49" s="30">
        <f t="shared" si="17"/>
        <v>0</v>
      </c>
      <c r="F49" s="30">
        <f t="shared" si="17"/>
        <v>0</v>
      </c>
      <c r="G49" s="30">
        <f t="shared" si="17"/>
        <v>0</v>
      </c>
      <c r="H49" s="30">
        <f t="shared" si="17"/>
        <v>0</v>
      </c>
      <c r="I49" s="30">
        <f t="shared" si="17"/>
        <v>0</v>
      </c>
      <c r="J49" s="30">
        <f t="shared" si="17"/>
        <v>0</v>
      </c>
      <c r="K49" s="30">
        <f t="shared" si="17"/>
        <v>0</v>
      </c>
      <c r="L49" s="30">
        <f t="shared" si="17"/>
        <v>0</v>
      </c>
      <c r="M49" s="30">
        <f t="shared" si="17"/>
        <v>0</v>
      </c>
      <c r="N49" s="30">
        <f t="shared" si="17"/>
        <v>0</v>
      </c>
      <c r="O49" s="30">
        <f t="shared" si="17"/>
        <v>0</v>
      </c>
      <c r="P49" s="30">
        <f t="shared" si="17"/>
        <v>0</v>
      </c>
      <c r="Q49" s="30">
        <f t="shared" si="17"/>
        <v>0</v>
      </c>
      <c r="R49" s="30">
        <f t="shared" si="17"/>
        <v>0</v>
      </c>
      <c r="S49" s="30">
        <f t="shared" si="17"/>
        <v>0</v>
      </c>
      <c r="T49" s="30">
        <f t="shared" si="17"/>
        <v>0</v>
      </c>
      <c r="U49" s="30">
        <f t="shared" si="17"/>
        <v>0</v>
      </c>
      <c r="V49">
        <f t="shared" si="5"/>
        <v>0</v>
      </c>
      <c r="W49">
        <f t="shared" si="6"/>
        <v>0</v>
      </c>
      <c r="X49">
        <f>L4*(L4-1)</f>
        <v>380</v>
      </c>
      <c r="Y49">
        <f>L4*V49-W49</f>
        <v>0</v>
      </c>
      <c r="Z49">
        <f t="shared" si="7"/>
        <v>0</v>
      </c>
      <c r="AA49">
        <f t="shared" si="8"/>
        <v>0</v>
      </c>
      <c r="AB49">
        <f t="shared" si="9"/>
        <v>0</v>
      </c>
    </row>
    <row r="50" spans="1:28" x14ac:dyDescent="0.2">
      <c r="A50" s="27">
        <f t="shared" si="10"/>
        <v>49</v>
      </c>
      <c r="B50" s="30">
        <f t="shared" ref="B50:U50" si="18">B20*B20</f>
        <v>0</v>
      </c>
      <c r="C50" s="30">
        <f t="shared" si="18"/>
        <v>0</v>
      </c>
      <c r="D50" s="30">
        <f t="shared" si="18"/>
        <v>0</v>
      </c>
      <c r="E50" s="30">
        <f t="shared" si="18"/>
        <v>0</v>
      </c>
      <c r="F50" s="30">
        <f t="shared" si="18"/>
        <v>0</v>
      </c>
      <c r="G50" s="30">
        <f t="shared" si="18"/>
        <v>0</v>
      </c>
      <c r="H50" s="30">
        <f t="shared" si="18"/>
        <v>0</v>
      </c>
      <c r="I50" s="30">
        <f t="shared" si="18"/>
        <v>0</v>
      </c>
      <c r="J50" s="30">
        <f t="shared" si="18"/>
        <v>0</v>
      </c>
      <c r="K50" s="30">
        <f t="shared" si="18"/>
        <v>0</v>
      </c>
      <c r="L50" s="30">
        <f t="shared" si="18"/>
        <v>0</v>
      </c>
      <c r="M50" s="30">
        <f t="shared" si="18"/>
        <v>0</v>
      </c>
      <c r="N50" s="30">
        <f t="shared" si="18"/>
        <v>0</v>
      </c>
      <c r="O50" s="30">
        <f t="shared" si="18"/>
        <v>0</v>
      </c>
      <c r="P50" s="30">
        <f t="shared" si="18"/>
        <v>0</v>
      </c>
      <c r="Q50" s="30">
        <f t="shared" si="18"/>
        <v>0</v>
      </c>
      <c r="R50" s="30">
        <f t="shared" si="18"/>
        <v>0</v>
      </c>
      <c r="S50" s="30">
        <f t="shared" si="18"/>
        <v>0</v>
      </c>
      <c r="T50" s="30">
        <f t="shared" si="18"/>
        <v>0</v>
      </c>
      <c r="U50" s="30">
        <f t="shared" si="18"/>
        <v>0</v>
      </c>
      <c r="V50">
        <f t="shared" si="5"/>
        <v>0</v>
      </c>
      <c r="W50">
        <f t="shared" si="6"/>
        <v>0</v>
      </c>
      <c r="X50">
        <f>L4*(L4-1)</f>
        <v>380</v>
      </c>
      <c r="Y50">
        <f>L4*V50-W50</f>
        <v>0</v>
      </c>
      <c r="Z50">
        <f t="shared" si="7"/>
        <v>0</v>
      </c>
      <c r="AA50">
        <f t="shared" si="8"/>
        <v>0</v>
      </c>
      <c r="AB50">
        <f t="shared" si="9"/>
        <v>0</v>
      </c>
    </row>
    <row r="51" spans="1:28" x14ac:dyDescent="0.2">
      <c r="A51" s="27">
        <f t="shared" si="10"/>
        <v>50</v>
      </c>
      <c r="B51" s="30">
        <f t="shared" ref="B51:U51" si="19">B21*B21</f>
        <v>0</v>
      </c>
      <c r="C51" s="30">
        <f t="shared" si="19"/>
        <v>0</v>
      </c>
      <c r="D51" s="30">
        <f t="shared" si="19"/>
        <v>0</v>
      </c>
      <c r="E51" s="30">
        <f t="shared" si="19"/>
        <v>0</v>
      </c>
      <c r="F51" s="30">
        <f t="shared" si="19"/>
        <v>0</v>
      </c>
      <c r="G51" s="30">
        <f t="shared" si="19"/>
        <v>0</v>
      </c>
      <c r="H51" s="30">
        <f t="shared" si="19"/>
        <v>0</v>
      </c>
      <c r="I51" s="30">
        <f t="shared" si="19"/>
        <v>0</v>
      </c>
      <c r="J51" s="30">
        <f t="shared" si="19"/>
        <v>0</v>
      </c>
      <c r="K51" s="30">
        <f t="shared" si="19"/>
        <v>0</v>
      </c>
      <c r="L51" s="30">
        <f t="shared" si="19"/>
        <v>0</v>
      </c>
      <c r="M51" s="30">
        <f t="shared" si="19"/>
        <v>0</v>
      </c>
      <c r="N51" s="30">
        <f t="shared" si="19"/>
        <v>0</v>
      </c>
      <c r="O51" s="30">
        <f t="shared" si="19"/>
        <v>0</v>
      </c>
      <c r="P51" s="30">
        <f t="shared" si="19"/>
        <v>0</v>
      </c>
      <c r="Q51" s="30">
        <f t="shared" si="19"/>
        <v>0</v>
      </c>
      <c r="R51" s="30">
        <f t="shared" si="19"/>
        <v>0</v>
      </c>
      <c r="S51" s="30">
        <f t="shared" si="19"/>
        <v>0</v>
      </c>
      <c r="T51" s="30">
        <f t="shared" si="19"/>
        <v>0</v>
      </c>
      <c r="U51" s="30">
        <f t="shared" si="19"/>
        <v>0</v>
      </c>
      <c r="V51">
        <f t="shared" si="5"/>
        <v>0</v>
      </c>
      <c r="W51">
        <f t="shared" si="6"/>
        <v>0</v>
      </c>
      <c r="X51">
        <f>L4*(L4-1)</f>
        <v>380</v>
      </c>
      <c r="Y51">
        <f>L4*V51-W51</f>
        <v>0</v>
      </c>
      <c r="Z51">
        <f t="shared" si="7"/>
        <v>0</v>
      </c>
      <c r="AA51">
        <f t="shared" si="8"/>
        <v>0</v>
      </c>
      <c r="AB51">
        <f t="shared" si="9"/>
        <v>0</v>
      </c>
    </row>
    <row r="52" spans="1:28" x14ac:dyDescent="0.2">
      <c r="A52" s="27"/>
      <c r="B52" s="30"/>
      <c r="C52" s="30"/>
      <c r="D52" s="30"/>
      <c r="E52" s="30"/>
      <c r="F52" s="30"/>
      <c r="G52" s="30"/>
      <c r="H52" s="30"/>
      <c r="I52" s="30"/>
      <c r="J52" s="30"/>
      <c r="K52" s="30"/>
      <c r="L52" s="30"/>
      <c r="M52" s="30"/>
      <c r="N52" s="30"/>
      <c r="O52" s="30"/>
      <c r="P52" s="30"/>
      <c r="Q52" s="30"/>
      <c r="R52" s="30"/>
      <c r="S52" s="30"/>
      <c r="T52" s="30"/>
      <c r="U52" s="30"/>
    </row>
    <row r="53" spans="1:28" x14ac:dyDescent="0.2">
      <c r="A53" s="27"/>
      <c r="B53" s="30"/>
      <c r="C53" s="30"/>
      <c r="D53" s="30"/>
      <c r="E53" s="30"/>
      <c r="F53" s="30"/>
      <c r="G53" s="30"/>
      <c r="H53" s="30"/>
      <c r="I53" s="30"/>
      <c r="J53" s="30"/>
      <c r="K53" s="30"/>
      <c r="L53" s="30"/>
      <c r="M53" s="30"/>
      <c r="N53" s="30"/>
      <c r="O53" s="30"/>
      <c r="P53" s="30"/>
      <c r="Q53" s="30"/>
      <c r="R53" s="30"/>
      <c r="S53" s="30"/>
      <c r="T53" s="30"/>
      <c r="U53" s="30"/>
    </row>
  </sheetData>
  <pageMargins left="0.78740157499999996" right="0.78740157499999996" top="0.984251969" bottom="0.984251969" header="0.5" footer="0.5"/>
  <pageSetup paperSize="9" orientation="landscape"/>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2"/>
  <dimension ref="A1:AB55"/>
  <sheetViews>
    <sheetView workbookViewId="0">
      <selection activeCell="W2" sqref="W2:AB7"/>
    </sheetView>
  </sheetViews>
  <sheetFormatPr baseColWidth="10" defaultColWidth="8.85546875" defaultRowHeight="12.75" x14ac:dyDescent="0.2"/>
  <cols>
    <col min="1" max="1" width="6.28515625" customWidth="1"/>
    <col min="2" max="21" width="3.7109375" customWidth="1"/>
    <col min="22" max="22" width="7.85546875" customWidth="1"/>
    <col min="23" max="23" width="10.7109375" bestFit="1" customWidth="1"/>
    <col min="24" max="24" width="8.85546875" customWidth="1"/>
    <col min="25" max="25" width="6.85546875" customWidth="1"/>
    <col min="26" max="26" width="16.42578125" customWidth="1"/>
  </cols>
  <sheetData>
    <row r="1" spans="1:28" ht="18" x14ac:dyDescent="0.25">
      <c r="A1" s="1" t="s">
        <v>26</v>
      </c>
    </row>
    <row r="2" spans="1:28" x14ac:dyDescent="0.2">
      <c r="L2" s="25" t="s">
        <v>61</v>
      </c>
      <c r="M2" s="4"/>
      <c r="N2" s="4"/>
      <c r="O2" s="4"/>
      <c r="P2" s="4"/>
      <c r="Q2" s="4"/>
      <c r="R2" s="4"/>
      <c r="S2" s="4"/>
      <c r="T2" s="4"/>
      <c r="U2" s="5"/>
      <c r="W2" s="25"/>
      <c r="X2" s="4"/>
      <c r="Y2" s="4"/>
      <c r="Z2" s="4"/>
      <c r="AA2" s="4"/>
      <c r="AB2" s="5"/>
    </row>
    <row r="3" spans="1:28" ht="13.5" thickBot="1" x14ac:dyDescent="0.25">
      <c r="B3" s="3" t="s">
        <v>32</v>
      </c>
      <c r="C3" s="7"/>
      <c r="D3" s="7"/>
      <c r="G3" s="7"/>
      <c r="H3" s="7"/>
      <c r="I3" s="7"/>
      <c r="J3" s="7"/>
      <c r="K3" s="7"/>
      <c r="L3" s="47" t="s">
        <v>62</v>
      </c>
      <c r="M3" s="7"/>
      <c r="N3" s="7"/>
      <c r="O3" s="7"/>
      <c r="P3" s="21">
        <f>V26*V26</f>
        <v>0</v>
      </c>
      <c r="Q3" s="40" t="s">
        <v>13</v>
      </c>
      <c r="S3" s="7"/>
      <c r="T3" s="7"/>
      <c r="U3" s="8"/>
      <c r="W3" s="33"/>
      <c r="X3" s="7"/>
      <c r="Y3" s="7"/>
      <c r="Z3" s="7"/>
      <c r="AA3" s="7"/>
      <c r="AB3" s="8"/>
    </row>
    <row r="4" spans="1:28" x14ac:dyDescent="0.2">
      <c r="A4" s="22">
        <f>(P8/L6)*100</f>
        <v>0</v>
      </c>
      <c r="B4" s="13" t="s">
        <v>51</v>
      </c>
      <c r="C4" s="14"/>
      <c r="D4" s="14"/>
      <c r="E4" s="14"/>
      <c r="F4" s="15"/>
      <c r="G4" s="15"/>
      <c r="H4" s="15"/>
      <c r="I4" s="15"/>
      <c r="J4" s="16"/>
      <c r="K4" s="7"/>
      <c r="L4" s="60">
        <f>Aperçu!N2</f>
        <v>20</v>
      </c>
      <c r="M4" s="7"/>
      <c r="N4" s="7"/>
      <c r="O4" s="7"/>
      <c r="P4" s="6">
        <f>L4*(L4-1)</f>
        <v>380</v>
      </c>
      <c r="Q4" s="40" t="s">
        <v>14</v>
      </c>
      <c r="S4" s="7"/>
      <c r="T4" s="7"/>
      <c r="U4" s="8"/>
      <c r="W4" s="33"/>
      <c r="X4" s="7"/>
      <c r="Y4" s="7"/>
      <c r="Z4" s="7"/>
      <c r="AA4" s="7"/>
      <c r="AB4" s="8"/>
    </row>
    <row r="5" spans="1:28" ht="13.5" thickBot="1" x14ac:dyDescent="0.25">
      <c r="A5" s="23">
        <f>100-(P9*2)</f>
        <v>100</v>
      </c>
      <c r="B5" s="17" t="s">
        <v>52</v>
      </c>
      <c r="C5" s="18"/>
      <c r="D5" s="18"/>
      <c r="E5" s="18"/>
      <c r="F5" s="19"/>
      <c r="G5" s="19"/>
      <c r="H5" s="19"/>
      <c r="I5" s="19"/>
      <c r="J5" s="20"/>
      <c r="K5" s="7"/>
      <c r="L5" s="47" t="s">
        <v>63</v>
      </c>
      <c r="M5" s="7"/>
      <c r="N5" s="7"/>
      <c r="O5" s="7"/>
      <c r="P5" s="21">
        <f>(L4*V27)-P3</f>
        <v>0</v>
      </c>
      <c r="Q5" s="40" t="s">
        <v>124</v>
      </c>
      <c r="S5" s="7"/>
      <c r="T5" s="7"/>
      <c r="U5" s="8"/>
      <c r="W5" s="33"/>
      <c r="X5" s="7"/>
      <c r="Y5" s="7"/>
      <c r="Z5" s="7"/>
      <c r="AA5" s="7"/>
      <c r="AB5" s="8"/>
    </row>
    <row r="6" spans="1:28" x14ac:dyDescent="0.2">
      <c r="K6" s="7"/>
      <c r="L6" s="60">
        <f>10*5</f>
        <v>50</v>
      </c>
      <c r="M6" s="7"/>
      <c r="N6" s="9"/>
      <c r="O6" s="7"/>
      <c r="P6" s="6">
        <f>P5/P4</f>
        <v>0</v>
      </c>
      <c r="Q6" s="40" t="s">
        <v>15</v>
      </c>
      <c r="S6" s="7"/>
      <c r="T6" s="7"/>
      <c r="U6" s="8"/>
      <c r="W6" s="33"/>
      <c r="X6" s="7"/>
      <c r="Y6" s="7"/>
      <c r="Z6" s="7"/>
      <c r="AA6" s="7"/>
      <c r="AB6" s="8"/>
    </row>
    <row r="7" spans="1:28" x14ac:dyDescent="0.2">
      <c r="C7" s="7"/>
      <c r="D7" s="7"/>
      <c r="G7" s="7"/>
      <c r="H7" s="7"/>
      <c r="I7" s="7"/>
      <c r="J7" s="7"/>
      <c r="K7" s="7"/>
      <c r="L7" s="47" t="s">
        <v>64</v>
      </c>
      <c r="M7" s="7"/>
      <c r="N7" s="9"/>
      <c r="O7" s="7"/>
      <c r="P7" s="6">
        <f>SQRT(P6)</f>
        <v>0</v>
      </c>
      <c r="Q7" s="40" t="s">
        <v>16</v>
      </c>
      <c r="S7" s="7"/>
      <c r="T7" s="7"/>
      <c r="U7" s="8"/>
      <c r="W7" s="46"/>
      <c r="X7" s="11"/>
      <c r="Y7" s="11"/>
      <c r="Z7" s="11"/>
      <c r="AA7" s="11"/>
      <c r="AB7" s="12"/>
    </row>
    <row r="8" spans="1:28" x14ac:dyDescent="0.2">
      <c r="C8" s="7"/>
      <c r="D8" s="7"/>
      <c r="G8" s="7"/>
      <c r="H8" s="7"/>
      <c r="I8" s="7"/>
      <c r="J8" s="7"/>
      <c r="L8" s="60">
        <v>10</v>
      </c>
      <c r="M8" s="7"/>
      <c r="N8" s="7"/>
      <c r="O8" s="7"/>
      <c r="P8" s="7">
        <f>V26/L4</f>
        <v>0</v>
      </c>
      <c r="Q8" s="40" t="s">
        <v>53</v>
      </c>
      <c r="R8" s="7"/>
      <c r="S8" s="7"/>
      <c r="T8" s="7"/>
      <c r="U8" s="8"/>
    </row>
    <row r="9" spans="1:28" x14ac:dyDescent="0.2">
      <c r="L9" s="10"/>
      <c r="M9" s="11"/>
      <c r="N9" s="11"/>
      <c r="O9" s="11"/>
      <c r="P9" s="11">
        <f>P7/((L8*5)-(L8*1))*100</f>
        <v>0</v>
      </c>
      <c r="Q9" s="41" t="s">
        <v>82</v>
      </c>
      <c r="R9" s="11"/>
      <c r="S9" s="11"/>
      <c r="T9" s="11"/>
      <c r="U9" s="12"/>
    </row>
    <row r="10" spans="1:28" x14ac:dyDescent="0.2">
      <c r="A10" s="3"/>
      <c r="B10" s="84" t="s">
        <v>199</v>
      </c>
      <c r="C10" s="84"/>
      <c r="D10" s="84"/>
      <c r="E10" s="84"/>
      <c r="F10" s="84"/>
      <c r="G10" s="84"/>
      <c r="H10" s="84"/>
      <c r="I10" s="84"/>
      <c r="J10" s="84"/>
      <c r="K10" s="84"/>
      <c r="L10" s="84"/>
      <c r="M10" s="84"/>
      <c r="N10" s="84"/>
      <c r="O10" s="84"/>
      <c r="P10" s="84"/>
      <c r="Q10" s="84"/>
      <c r="R10" s="84"/>
      <c r="S10" s="84"/>
      <c r="T10" s="84"/>
      <c r="U10" s="84"/>
      <c r="W10" s="25" t="s">
        <v>10</v>
      </c>
      <c r="X10" s="35"/>
      <c r="Y10" s="4"/>
      <c r="Z10" s="4"/>
      <c r="AA10" s="4"/>
      <c r="AB10" s="5"/>
    </row>
    <row r="11" spans="1:28" x14ac:dyDescent="0.2">
      <c r="A11" s="89" t="s">
        <v>200</v>
      </c>
      <c r="B11" s="27">
        <v>1</v>
      </c>
      <c r="C11" s="27">
        <v>2</v>
      </c>
      <c r="D11" s="27">
        <v>3</v>
      </c>
      <c r="E11" s="27">
        <v>4</v>
      </c>
      <c r="F11" s="27">
        <v>5</v>
      </c>
      <c r="G11" s="27">
        <v>6</v>
      </c>
      <c r="H11" s="27">
        <v>7</v>
      </c>
      <c r="I11" s="27">
        <v>8</v>
      </c>
      <c r="J11" s="27">
        <v>9</v>
      </c>
      <c r="K11" s="27">
        <v>10</v>
      </c>
      <c r="L11" s="27">
        <v>11</v>
      </c>
      <c r="M11" s="27">
        <v>12</v>
      </c>
      <c r="N11" s="27">
        <v>13</v>
      </c>
      <c r="O11" s="27">
        <v>14</v>
      </c>
      <c r="P11" s="27">
        <v>15</v>
      </c>
      <c r="Q11" s="27">
        <v>16</v>
      </c>
      <c r="R11" s="27">
        <v>17</v>
      </c>
      <c r="S11" s="27">
        <v>18</v>
      </c>
      <c r="T11" s="27">
        <v>19</v>
      </c>
      <c r="U11" s="27">
        <v>20</v>
      </c>
      <c r="V11" s="90" t="s">
        <v>68</v>
      </c>
      <c r="W11" s="26" t="s">
        <v>33</v>
      </c>
      <c r="X11" s="9" t="s">
        <v>34</v>
      </c>
      <c r="Y11" s="34" t="s">
        <v>67</v>
      </c>
      <c r="Z11" s="7"/>
      <c r="AA11" s="7"/>
      <c r="AB11" s="8"/>
    </row>
    <row r="12" spans="1:28" x14ac:dyDescent="0.2">
      <c r="A12" s="27">
        <v>51</v>
      </c>
      <c r="B12" s="30"/>
      <c r="C12" s="30"/>
      <c r="D12" s="30"/>
      <c r="E12" s="30"/>
      <c r="F12" s="30"/>
      <c r="G12" s="30"/>
      <c r="H12" s="30"/>
      <c r="I12" s="30"/>
      <c r="J12" s="30"/>
      <c r="K12" s="30"/>
      <c r="L12" s="30"/>
      <c r="M12" s="30"/>
      <c r="N12" s="30"/>
      <c r="O12" s="30"/>
      <c r="P12" s="30"/>
      <c r="Q12" s="30"/>
      <c r="R12" s="30"/>
      <c r="S12" s="30"/>
      <c r="T12" s="30"/>
      <c r="U12" s="30"/>
      <c r="V12" s="30">
        <f t="shared" ref="V12:V21" si="0">SUM(B12:U12)</f>
        <v>0</v>
      </c>
      <c r="W12" s="36">
        <f>V12/L4*20</f>
        <v>0</v>
      </c>
      <c r="X12" s="37">
        <f t="shared" ref="X12:X21" si="1">100-(AB40*2)</f>
        <v>100</v>
      </c>
      <c r="Y12" s="68" t="s">
        <v>170</v>
      </c>
      <c r="Z12" s="7"/>
      <c r="AA12" s="7"/>
      <c r="AB12" s="8"/>
    </row>
    <row r="13" spans="1:28" x14ac:dyDescent="0.2">
      <c r="A13" s="27">
        <v>52</v>
      </c>
      <c r="B13" s="30"/>
      <c r="C13" s="30"/>
      <c r="D13" s="30"/>
      <c r="E13" s="30"/>
      <c r="F13" s="30"/>
      <c r="G13" s="30"/>
      <c r="H13" s="30"/>
      <c r="I13" s="30"/>
      <c r="J13" s="30"/>
      <c r="K13" s="30"/>
      <c r="L13" s="30"/>
      <c r="M13" s="30"/>
      <c r="N13" s="30"/>
      <c r="O13" s="30"/>
      <c r="P13" s="30"/>
      <c r="Q13" s="30"/>
      <c r="R13" s="30"/>
      <c r="S13" s="30"/>
      <c r="T13" s="30"/>
      <c r="U13" s="30"/>
      <c r="V13" s="30">
        <f t="shared" si="0"/>
        <v>0</v>
      </c>
      <c r="W13" s="36">
        <f>V13/L4*20</f>
        <v>0</v>
      </c>
      <c r="X13" s="37">
        <f t="shared" si="1"/>
        <v>100</v>
      </c>
      <c r="Y13" s="68" t="s">
        <v>171</v>
      </c>
      <c r="Z13" s="7"/>
      <c r="AA13" s="7"/>
      <c r="AB13" s="8"/>
    </row>
    <row r="14" spans="1:28" x14ac:dyDescent="0.2">
      <c r="A14" s="27">
        <v>53</v>
      </c>
      <c r="B14" s="30"/>
      <c r="C14" s="30"/>
      <c r="D14" s="30"/>
      <c r="E14" s="30"/>
      <c r="F14" s="30"/>
      <c r="G14" s="30"/>
      <c r="H14" s="30"/>
      <c r="I14" s="30"/>
      <c r="J14" s="30"/>
      <c r="K14" s="30"/>
      <c r="L14" s="30"/>
      <c r="M14" s="30"/>
      <c r="N14" s="30"/>
      <c r="O14" s="30"/>
      <c r="P14" s="30"/>
      <c r="Q14" s="30"/>
      <c r="R14" s="30"/>
      <c r="S14" s="30"/>
      <c r="T14" s="30"/>
      <c r="U14" s="30"/>
      <c r="V14" s="30">
        <f t="shared" si="0"/>
        <v>0</v>
      </c>
      <c r="W14" s="36">
        <f>V14/L4*20</f>
        <v>0</v>
      </c>
      <c r="X14" s="37">
        <f t="shared" si="1"/>
        <v>100</v>
      </c>
      <c r="Y14" s="68" t="s">
        <v>172</v>
      </c>
      <c r="Z14" s="7"/>
      <c r="AA14" s="7"/>
      <c r="AB14" s="8"/>
    </row>
    <row r="15" spans="1:28" x14ac:dyDescent="0.2">
      <c r="A15" s="27">
        <v>54</v>
      </c>
      <c r="B15" s="30"/>
      <c r="C15" s="30"/>
      <c r="D15" s="30"/>
      <c r="E15" s="30"/>
      <c r="F15" s="30"/>
      <c r="G15" s="30"/>
      <c r="H15" s="30"/>
      <c r="I15" s="30"/>
      <c r="J15" s="30"/>
      <c r="K15" s="30"/>
      <c r="L15" s="30"/>
      <c r="M15" s="30"/>
      <c r="N15" s="30"/>
      <c r="O15" s="30"/>
      <c r="P15" s="30"/>
      <c r="Q15" s="30"/>
      <c r="R15" s="30"/>
      <c r="S15" s="30"/>
      <c r="T15" s="30"/>
      <c r="U15" s="30"/>
      <c r="V15" s="30">
        <f t="shared" si="0"/>
        <v>0</v>
      </c>
      <c r="W15" s="36">
        <f>V15/L4*20</f>
        <v>0</v>
      </c>
      <c r="X15" s="37">
        <f t="shared" si="1"/>
        <v>100</v>
      </c>
      <c r="Y15" s="68" t="s">
        <v>173</v>
      </c>
      <c r="Z15" s="7"/>
      <c r="AA15" s="7"/>
      <c r="AB15" s="8"/>
    </row>
    <row r="16" spans="1:28" x14ac:dyDescent="0.2">
      <c r="A16" s="27">
        <v>55</v>
      </c>
      <c r="B16" s="30"/>
      <c r="C16" s="30"/>
      <c r="D16" s="30"/>
      <c r="E16" s="30"/>
      <c r="F16" s="30"/>
      <c r="G16" s="30"/>
      <c r="H16" s="30"/>
      <c r="I16" s="30"/>
      <c r="J16" s="30"/>
      <c r="K16" s="30"/>
      <c r="L16" s="30"/>
      <c r="M16" s="30"/>
      <c r="N16" s="30"/>
      <c r="O16" s="30"/>
      <c r="P16" s="30"/>
      <c r="Q16" s="30"/>
      <c r="R16" s="30"/>
      <c r="S16" s="30"/>
      <c r="T16" s="30"/>
      <c r="U16" s="30"/>
      <c r="V16" s="30">
        <f t="shared" si="0"/>
        <v>0</v>
      </c>
      <c r="W16" s="36">
        <f>V16/L4*20</f>
        <v>0</v>
      </c>
      <c r="X16" s="37">
        <f t="shared" si="1"/>
        <v>100</v>
      </c>
      <c r="Y16" s="68" t="s">
        <v>174</v>
      </c>
      <c r="Z16" s="7"/>
      <c r="AA16" s="7"/>
      <c r="AB16" s="8"/>
    </row>
    <row r="17" spans="1:28" x14ac:dyDescent="0.2">
      <c r="A17" s="27">
        <v>56</v>
      </c>
      <c r="B17" s="30"/>
      <c r="C17" s="30"/>
      <c r="D17" s="30"/>
      <c r="E17" s="30"/>
      <c r="F17" s="30"/>
      <c r="G17" s="30"/>
      <c r="H17" s="30"/>
      <c r="I17" s="30"/>
      <c r="J17" s="30"/>
      <c r="K17" s="30"/>
      <c r="L17" s="30"/>
      <c r="M17" s="30"/>
      <c r="N17" s="30"/>
      <c r="O17" s="30"/>
      <c r="P17" s="30"/>
      <c r="Q17" s="30"/>
      <c r="R17" s="30"/>
      <c r="S17" s="30"/>
      <c r="T17" s="30"/>
      <c r="U17" s="30"/>
      <c r="V17" s="30">
        <f t="shared" si="0"/>
        <v>0</v>
      </c>
      <c r="W17" s="36">
        <f>V17/L4*20</f>
        <v>0</v>
      </c>
      <c r="X17" s="37">
        <f t="shared" si="1"/>
        <v>100</v>
      </c>
      <c r="Y17" s="68" t="s">
        <v>175</v>
      </c>
      <c r="Z17" s="7"/>
      <c r="AA17" s="7"/>
      <c r="AB17" s="8"/>
    </row>
    <row r="18" spans="1:28" x14ac:dyDescent="0.2">
      <c r="A18" s="27">
        <v>57</v>
      </c>
      <c r="B18" s="30"/>
      <c r="C18" s="30"/>
      <c r="D18" s="30"/>
      <c r="E18" s="30"/>
      <c r="F18" s="30"/>
      <c r="G18" s="30"/>
      <c r="H18" s="30"/>
      <c r="I18" s="30"/>
      <c r="J18" s="30"/>
      <c r="K18" s="30"/>
      <c r="L18" s="30"/>
      <c r="M18" s="30"/>
      <c r="N18" s="30"/>
      <c r="O18" s="30"/>
      <c r="P18" s="30"/>
      <c r="Q18" s="30"/>
      <c r="R18" s="30"/>
      <c r="S18" s="30"/>
      <c r="T18" s="30"/>
      <c r="U18" s="30"/>
      <c r="V18" s="30">
        <f t="shared" si="0"/>
        <v>0</v>
      </c>
      <c r="W18" s="36">
        <f>V18/L4*20</f>
        <v>0</v>
      </c>
      <c r="X18" s="37">
        <f t="shared" si="1"/>
        <v>100</v>
      </c>
      <c r="Y18" s="68" t="s">
        <v>176</v>
      </c>
      <c r="Z18" s="7"/>
      <c r="AA18" s="7"/>
      <c r="AB18" s="8"/>
    </row>
    <row r="19" spans="1:28" x14ac:dyDescent="0.2">
      <c r="A19" s="27">
        <v>58</v>
      </c>
      <c r="B19" s="30"/>
      <c r="C19" s="30"/>
      <c r="D19" s="30"/>
      <c r="E19" s="30"/>
      <c r="F19" s="30"/>
      <c r="G19" s="30"/>
      <c r="H19" s="30"/>
      <c r="I19" s="30"/>
      <c r="J19" s="30"/>
      <c r="K19" s="30"/>
      <c r="L19" s="30"/>
      <c r="M19" s="30"/>
      <c r="N19" s="30"/>
      <c r="O19" s="30"/>
      <c r="P19" s="30"/>
      <c r="Q19" s="30"/>
      <c r="R19" s="30"/>
      <c r="S19" s="30"/>
      <c r="T19" s="30"/>
      <c r="U19" s="30"/>
      <c r="V19" s="30">
        <f t="shared" si="0"/>
        <v>0</v>
      </c>
      <c r="W19" s="36">
        <f>V19/L4*20</f>
        <v>0</v>
      </c>
      <c r="X19" s="37">
        <f t="shared" si="1"/>
        <v>100</v>
      </c>
      <c r="Y19" s="68" t="s">
        <v>177</v>
      </c>
      <c r="Z19" s="7"/>
      <c r="AA19" s="7"/>
      <c r="AB19" s="8"/>
    </row>
    <row r="20" spans="1:28" x14ac:dyDescent="0.2">
      <c r="A20" s="27">
        <v>59</v>
      </c>
      <c r="B20" s="30"/>
      <c r="C20" s="30"/>
      <c r="D20" s="30"/>
      <c r="E20" s="30"/>
      <c r="F20" s="30"/>
      <c r="G20" s="30"/>
      <c r="H20" s="30"/>
      <c r="I20" s="30"/>
      <c r="J20" s="30"/>
      <c r="K20" s="30"/>
      <c r="L20" s="30"/>
      <c r="M20" s="30"/>
      <c r="N20" s="30"/>
      <c r="O20" s="30"/>
      <c r="P20" s="30"/>
      <c r="Q20" s="30"/>
      <c r="R20" s="30"/>
      <c r="S20" s="30"/>
      <c r="T20" s="30"/>
      <c r="U20" s="30"/>
      <c r="V20" s="30">
        <f t="shared" si="0"/>
        <v>0</v>
      </c>
      <c r="W20" s="36">
        <f>V20/L4*20</f>
        <v>0</v>
      </c>
      <c r="X20" s="37">
        <f t="shared" si="1"/>
        <v>100</v>
      </c>
      <c r="Y20" s="68" t="s">
        <v>178</v>
      </c>
      <c r="Z20" s="7"/>
      <c r="AA20" s="7"/>
      <c r="AB20" s="8"/>
    </row>
    <row r="21" spans="1:28" x14ac:dyDescent="0.2">
      <c r="A21" s="27">
        <v>60</v>
      </c>
      <c r="B21" s="30"/>
      <c r="C21" s="30"/>
      <c r="D21" s="30"/>
      <c r="E21" s="30"/>
      <c r="F21" s="30"/>
      <c r="G21" s="30"/>
      <c r="H21" s="30"/>
      <c r="I21" s="30"/>
      <c r="J21" s="30"/>
      <c r="K21" s="30"/>
      <c r="L21" s="30"/>
      <c r="M21" s="30"/>
      <c r="N21" s="30"/>
      <c r="O21" s="30"/>
      <c r="P21" s="30"/>
      <c r="Q21" s="30"/>
      <c r="R21" s="30"/>
      <c r="S21" s="30"/>
      <c r="T21" s="30"/>
      <c r="U21" s="30"/>
      <c r="V21" s="30">
        <f t="shared" si="0"/>
        <v>0</v>
      </c>
      <c r="W21" s="36">
        <f>V21/L4*20</f>
        <v>0</v>
      </c>
      <c r="X21" s="37">
        <f t="shared" si="1"/>
        <v>100</v>
      </c>
      <c r="Y21" s="61" t="s">
        <v>179</v>
      </c>
      <c r="Z21" s="7"/>
      <c r="AA21" s="7"/>
      <c r="AB21" s="8"/>
    </row>
    <row r="22" spans="1:28" x14ac:dyDescent="0.2">
      <c r="A22" s="27"/>
      <c r="B22" s="30"/>
      <c r="C22" s="30"/>
      <c r="D22" s="30"/>
      <c r="E22" s="30"/>
      <c r="F22" s="30"/>
      <c r="G22" s="30"/>
      <c r="H22" s="30"/>
      <c r="I22" s="30"/>
      <c r="J22" s="30"/>
      <c r="K22" s="30"/>
      <c r="L22" s="30"/>
      <c r="M22" s="30"/>
      <c r="N22" s="30"/>
      <c r="O22" s="30"/>
      <c r="P22" s="30"/>
      <c r="Q22" s="30"/>
      <c r="R22" s="30"/>
      <c r="S22" s="30"/>
      <c r="T22" s="30"/>
      <c r="U22" s="30"/>
      <c r="V22" s="30"/>
      <c r="W22" s="36"/>
      <c r="X22" s="37"/>
      <c r="Y22" s="44"/>
      <c r="Z22" s="7"/>
      <c r="AA22" s="7"/>
      <c r="AB22" s="8"/>
    </row>
    <row r="23" spans="1:28" x14ac:dyDescent="0.2">
      <c r="A23" s="27"/>
      <c r="B23" s="30"/>
      <c r="C23" s="30"/>
      <c r="D23" s="30"/>
      <c r="E23" s="30"/>
      <c r="F23" s="30"/>
      <c r="G23" s="30"/>
      <c r="H23" s="30"/>
      <c r="I23" s="30"/>
      <c r="J23" s="30"/>
      <c r="K23" s="30"/>
      <c r="L23" s="30"/>
      <c r="M23" s="30"/>
      <c r="N23" s="30"/>
      <c r="O23" s="30"/>
      <c r="P23" s="30"/>
      <c r="Q23" s="30"/>
      <c r="R23" s="30"/>
      <c r="S23" s="30"/>
      <c r="T23" s="30"/>
      <c r="U23" s="30"/>
      <c r="V23" s="30"/>
      <c r="W23" s="36"/>
      <c r="X23" s="37"/>
      <c r="Y23" s="44"/>
      <c r="Z23" s="7"/>
      <c r="AA23" s="7"/>
      <c r="AB23" s="8"/>
    </row>
    <row r="24" spans="1:28" x14ac:dyDescent="0.2">
      <c r="A24" s="27"/>
      <c r="B24" s="30"/>
      <c r="C24" s="30"/>
      <c r="D24" s="30"/>
      <c r="E24" s="30"/>
      <c r="F24" s="30"/>
      <c r="G24" s="30"/>
      <c r="H24" s="30"/>
      <c r="I24" s="30"/>
      <c r="J24" s="30"/>
      <c r="K24" s="30"/>
      <c r="L24" s="30"/>
      <c r="M24" s="30"/>
      <c r="N24" s="30"/>
      <c r="O24" s="30"/>
      <c r="P24" s="30"/>
      <c r="Q24" s="30"/>
      <c r="R24" s="30"/>
      <c r="S24" s="30"/>
      <c r="T24" s="30"/>
      <c r="U24" s="30"/>
      <c r="V24" s="30"/>
      <c r="W24" s="36"/>
      <c r="X24" s="37"/>
      <c r="Y24" s="44"/>
      <c r="Z24" s="7"/>
      <c r="AA24" s="7"/>
      <c r="AB24" s="8"/>
    </row>
    <row r="25" spans="1:28" x14ac:dyDescent="0.2">
      <c r="A25" s="27"/>
      <c r="B25" s="30"/>
      <c r="C25" s="30"/>
      <c r="D25" s="30"/>
      <c r="E25" s="30"/>
      <c r="F25" s="30"/>
      <c r="G25" s="30"/>
      <c r="H25" s="30"/>
      <c r="I25" s="30"/>
      <c r="J25" s="30"/>
      <c r="K25" s="30"/>
      <c r="L25" s="30"/>
      <c r="M25" s="30"/>
      <c r="N25" s="30"/>
      <c r="O25" s="30"/>
      <c r="P25" s="30"/>
      <c r="Q25" s="30"/>
      <c r="R25" s="30"/>
      <c r="S25" s="30"/>
      <c r="T25" s="30"/>
      <c r="U25" s="30"/>
      <c r="V25" s="30"/>
      <c r="W25" s="38"/>
      <c r="X25" s="39"/>
      <c r="Y25" s="45"/>
      <c r="Z25" s="11"/>
      <c r="AA25" s="11"/>
      <c r="AB25" s="12"/>
    </row>
    <row r="26" spans="1:28" x14ac:dyDescent="0.2">
      <c r="A26" s="27" t="s">
        <v>127</v>
      </c>
      <c r="B26" s="30">
        <f t="shared" ref="B26:U26" si="2">SUM(B12:B25)</f>
        <v>0</v>
      </c>
      <c r="C26" s="30">
        <f t="shared" si="2"/>
        <v>0</v>
      </c>
      <c r="D26" s="30">
        <f t="shared" si="2"/>
        <v>0</v>
      </c>
      <c r="E26" s="30">
        <f t="shared" si="2"/>
        <v>0</v>
      </c>
      <c r="F26" s="30">
        <f t="shared" si="2"/>
        <v>0</v>
      </c>
      <c r="G26" s="30">
        <f t="shared" si="2"/>
        <v>0</v>
      </c>
      <c r="H26" s="30">
        <f t="shared" si="2"/>
        <v>0</v>
      </c>
      <c r="I26" s="30">
        <f t="shared" si="2"/>
        <v>0</v>
      </c>
      <c r="J26" s="30">
        <f t="shared" si="2"/>
        <v>0</v>
      </c>
      <c r="K26" s="30">
        <f t="shared" si="2"/>
        <v>0</v>
      </c>
      <c r="L26" s="30">
        <f t="shared" si="2"/>
        <v>0</v>
      </c>
      <c r="M26" s="30">
        <f t="shared" si="2"/>
        <v>0</v>
      </c>
      <c r="N26" s="30">
        <f t="shared" si="2"/>
        <v>0</v>
      </c>
      <c r="O26" s="30">
        <f t="shared" si="2"/>
        <v>0</v>
      </c>
      <c r="P26" s="30">
        <f t="shared" si="2"/>
        <v>0</v>
      </c>
      <c r="Q26" s="30">
        <f t="shared" si="2"/>
        <v>0</v>
      </c>
      <c r="R26" s="30">
        <f t="shared" si="2"/>
        <v>0</v>
      </c>
      <c r="S26" s="30">
        <f t="shared" si="2"/>
        <v>0</v>
      </c>
      <c r="T26" s="30">
        <f t="shared" si="2"/>
        <v>0</v>
      </c>
      <c r="U26" s="30">
        <f t="shared" si="2"/>
        <v>0</v>
      </c>
      <c r="V26" s="30">
        <f>SUM(B26:U26)</f>
        <v>0</v>
      </c>
      <c r="W26" s="28"/>
      <c r="X26" s="7"/>
    </row>
    <row r="27" spans="1:28" x14ac:dyDescent="0.2">
      <c r="A27" s="27" t="s">
        <v>128</v>
      </c>
      <c r="B27" s="31">
        <f t="shared" ref="B27:U27" si="3">B26*B26</f>
        <v>0</v>
      </c>
      <c r="C27" s="31">
        <f t="shared" si="3"/>
        <v>0</v>
      </c>
      <c r="D27" s="31">
        <f t="shared" si="3"/>
        <v>0</v>
      </c>
      <c r="E27" s="31">
        <f t="shared" si="3"/>
        <v>0</v>
      </c>
      <c r="F27" s="31">
        <f t="shared" si="3"/>
        <v>0</v>
      </c>
      <c r="G27" s="31">
        <f t="shared" si="3"/>
        <v>0</v>
      </c>
      <c r="H27" s="31">
        <f t="shared" si="3"/>
        <v>0</v>
      </c>
      <c r="I27" s="31">
        <f t="shared" si="3"/>
        <v>0</v>
      </c>
      <c r="J27" s="31">
        <f t="shared" si="3"/>
        <v>0</v>
      </c>
      <c r="K27" s="31">
        <f t="shared" si="3"/>
        <v>0</v>
      </c>
      <c r="L27" s="31">
        <f t="shared" si="3"/>
        <v>0</v>
      </c>
      <c r="M27" s="31">
        <f t="shared" si="3"/>
        <v>0</v>
      </c>
      <c r="N27" s="31">
        <f t="shared" si="3"/>
        <v>0</v>
      </c>
      <c r="O27" s="31">
        <f t="shared" si="3"/>
        <v>0</v>
      </c>
      <c r="P27" s="31">
        <f t="shared" si="3"/>
        <v>0</v>
      </c>
      <c r="Q27" s="31">
        <f t="shared" si="3"/>
        <v>0</v>
      </c>
      <c r="R27" s="31">
        <f t="shared" si="3"/>
        <v>0</v>
      </c>
      <c r="S27" s="31">
        <f t="shared" si="3"/>
        <v>0</v>
      </c>
      <c r="T27" s="31">
        <f t="shared" si="3"/>
        <v>0</v>
      </c>
      <c r="U27" s="31">
        <f t="shared" si="3"/>
        <v>0</v>
      </c>
      <c r="V27" s="31">
        <f>SUM(B27:U27)</f>
        <v>0</v>
      </c>
      <c r="W27" t="s">
        <v>12</v>
      </c>
      <c r="X27" s="2"/>
    </row>
    <row r="38" spans="1:28" x14ac:dyDescent="0.2">
      <c r="A38" s="2" t="s">
        <v>23</v>
      </c>
    </row>
    <row r="39" spans="1:28" x14ac:dyDescent="0.2">
      <c r="A39" s="27" t="s">
        <v>5</v>
      </c>
      <c r="B39" s="30" t="s">
        <v>112</v>
      </c>
      <c r="C39" s="30" t="s">
        <v>113</v>
      </c>
      <c r="D39" s="30" t="s">
        <v>114</v>
      </c>
      <c r="E39" s="30" t="s">
        <v>115</v>
      </c>
      <c r="F39" s="30" t="s">
        <v>116</v>
      </c>
      <c r="G39" s="30" t="s">
        <v>117</v>
      </c>
      <c r="H39" s="30" t="s">
        <v>118</v>
      </c>
      <c r="I39" s="30" t="s">
        <v>119</v>
      </c>
      <c r="J39" s="30" t="s">
        <v>120</v>
      </c>
      <c r="K39" s="30" t="s">
        <v>121</v>
      </c>
      <c r="L39" s="30" t="s">
        <v>122</v>
      </c>
      <c r="M39" s="30" t="s">
        <v>123</v>
      </c>
      <c r="N39" s="30" t="s">
        <v>124</v>
      </c>
      <c r="O39" s="30" t="s">
        <v>125</v>
      </c>
      <c r="P39" s="30" t="s">
        <v>126</v>
      </c>
      <c r="Q39" s="30" t="s">
        <v>15</v>
      </c>
      <c r="R39" s="30" t="s">
        <v>17</v>
      </c>
      <c r="S39" s="30" t="s">
        <v>18</v>
      </c>
      <c r="T39" s="30" t="s">
        <v>19</v>
      </c>
      <c r="U39" s="30" t="s">
        <v>20</v>
      </c>
      <c r="V39" t="s">
        <v>24</v>
      </c>
      <c r="W39" t="s">
        <v>13</v>
      </c>
      <c r="X39" t="s">
        <v>14</v>
      </c>
      <c r="Y39" t="s">
        <v>124</v>
      </c>
      <c r="Z39" t="s">
        <v>15</v>
      </c>
      <c r="AA39" t="s">
        <v>21</v>
      </c>
      <c r="AB39" t="s">
        <v>7</v>
      </c>
    </row>
    <row r="40" spans="1:28" x14ac:dyDescent="0.2">
      <c r="A40" s="27">
        <f>A12</f>
        <v>51</v>
      </c>
      <c r="B40" s="30">
        <f t="shared" ref="B40:U40" si="4">B12*B12</f>
        <v>0</v>
      </c>
      <c r="C40" s="30">
        <f t="shared" si="4"/>
        <v>0</v>
      </c>
      <c r="D40" s="30">
        <f t="shared" si="4"/>
        <v>0</v>
      </c>
      <c r="E40" s="30">
        <f t="shared" si="4"/>
        <v>0</v>
      </c>
      <c r="F40" s="30">
        <f t="shared" si="4"/>
        <v>0</v>
      </c>
      <c r="G40" s="30">
        <f t="shared" si="4"/>
        <v>0</v>
      </c>
      <c r="H40" s="30">
        <f t="shared" si="4"/>
        <v>0</v>
      </c>
      <c r="I40" s="30">
        <f t="shared" si="4"/>
        <v>0</v>
      </c>
      <c r="J40" s="30">
        <f t="shared" si="4"/>
        <v>0</v>
      </c>
      <c r="K40" s="30">
        <f t="shared" si="4"/>
        <v>0</v>
      </c>
      <c r="L40" s="30">
        <f t="shared" si="4"/>
        <v>0</v>
      </c>
      <c r="M40" s="30">
        <f t="shared" si="4"/>
        <v>0</v>
      </c>
      <c r="N40" s="30">
        <f t="shared" si="4"/>
        <v>0</v>
      </c>
      <c r="O40" s="30">
        <f t="shared" si="4"/>
        <v>0</v>
      </c>
      <c r="P40" s="30">
        <f t="shared" si="4"/>
        <v>0</v>
      </c>
      <c r="Q40" s="30">
        <f t="shared" si="4"/>
        <v>0</v>
      </c>
      <c r="R40" s="30">
        <f t="shared" si="4"/>
        <v>0</v>
      </c>
      <c r="S40" s="30">
        <f t="shared" si="4"/>
        <v>0</v>
      </c>
      <c r="T40" s="30">
        <f t="shared" si="4"/>
        <v>0</v>
      </c>
      <c r="U40" s="30">
        <f t="shared" si="4"/>
        <v>0</v>
      </c>
      <c r="V40">
        <f t="shared" ref="V40:V49" si="5">SUM(B40:U40)</f>
        <v>0</v>
      </c>
      <c r="W40">
        <f t="shared" ref="W40:W49" si="6">V12*V12</f>
        <v>0</v>
      </c>
      <c r="X40">
        <f>L4*(L4-1)</f>
        <v>380</v>
      </c>
      <c r="Y40">
        <f>L4*V40-W40</f>
        <v>0</v>
      </c>
      <c r="Z40">
        <f t="shared" ref="Z40:Z49" si="7">Y40/X40</f>
        <v>0</v>
      </c>
      <c r="AA40">
        <f t="shared" ref="AA40:AA49" si="8">SQRT(Z40)</f>
        <v>0</v>
      </c>
      <c r="AB40">
        <f t="shared" ref="AB40:AB49" si="9">AA40/4*100</f>
        <v>0</v>
      </c>
    </row>
    <row r="41" spans="1:28" x14ac:dyDescent="0.2">
      <c r="A41" s="27">
        <f t="shared" ref="A41:A49" si="10">A13</f>
        <v>52</v>
      </c>
      <c r="B41" s="30">
        <f t="shared" ref="B41:U41" si="11">B13*B13</f>
        <v>0</v>
      </c>
      <c r="C41" s="30">
        <f t="shared" si="11"/>
        <v>0</v>
      </c>
      <c r="D41" s="30">
        <f t="shared" si="11"/>
        <v>0</v>
      </c>
      <c r="E41" s="30">
        <f t="shared" si="11"/>
        <v>0</v>
      </c>
      <c r="F41" s="30">
        <f t="shared" si="11"/>
        <v>0</v>
      </c>
      <c r="G41" s="30">
        <f t="shared" si="11"/>
        <v>0</v>
      </c>
      <c r="H41" s="30">
        <f t="shared" si="11"/>
        <v>0</v>
      </c>
      <c r="I41" s="30">
        <f t="shared" si="11"/>
        <v>0</v>
      </c>
      <c r="J41" s="30">
        <f t="shared" si="11"/>
        <v>0</v>
      </c>
      <c r="K41" s="30">
        <f t="shared" si="11"/>
        <v>0</v>
      </c>
      <c r="L41" s="30">
        <f t="shared" si="11"/>
        <v>0</v>
      </c>
      <c r="M41" s="30">
        <f t="shared" si="11"/>
        <v>0</v>
      </c>
      <c r="N41" s="30">
        <f t="shared" si="11"/>
        <v>0</v>
      </c>
      <c r="O41" s="30">
        <f t="shared" si="11"/>
        <v>0</v>
      </c>
      <c r="P41" s="30">
        <f t="shared" si="11"/>
        <v>0</v>
      </c>
      <c r="Q41" s="30">
        <f t="shared" si="11"/>
        <v>0</v>
      </c>
      <c r="R41" s="30">
        <f t="shared" si="11"/>
        <v>0</v>
      </c>
      <c r="S41" s="30">
        <f t="shared" si="11"/>
        <v>0</v>
      </c>
      <c r="T41" s="30">
        <f t="shared" si="11"/>
        <v>0</v>
      </c>
      <c r="U41" s="30">
        <f t="shared" si="11"/>
        <v>0</v>
      </c>
      <c r="V41">
        <f t="shared" si="5"/>
        <v>0</v>
      </c>
      <c r="W41">
        <f t="shared" si="6"/>
        <v>0</v>
      </c>
      <c r="X41">
        <f>L4*(L4-1)</f>
        <v>380</v>
      </c>
      <c r="Y41">
        <f>L4*V41-W41</f>
        <v>0</v>
      </c>
      <c r="Z41">
        <f t="shared" si="7"/>
        <v>0</v>
      </c>
      <c r="AA41">
        <f t="shared" si="8"/>
        <v>0</v>
      </c>
      <c r="AB41">
        <f t="shared" si="9"/>
        <v>0</v>
      </c>
    </row>
    <row r="42" spans="1:28" x14ac:dyDescent="0.2">
      <c r="A42" s="27">
        <f t="shared" si="10"/>
        <v>53</v>
      </c>
      <c r="B42" s="30">
        <f t="shared" ref="B42:U42" si="12">B14*B14</f>
        <v>0</v>
      </c>
      <c r="C42" s="30">
        <f t="shared" si="12"/>
        <v>0</v>
      </c>
      <c r="D42" s="30">
        <f t="shared" si="12"/>
        <v>0</v>
      </c>
      <c r="E42" s="30">
        <f t="shared" si="12"/>
        <v>0</v>
      </c>
      <c r="F42" s="30">
        <f t="shared" si="12"/>
        <v>0</v>
      </c>
      <c r="G42" s="30">
        <f t="shared" si="12"/>
        <v>0</v>
      </c>
      <c r="H42" s="30">
        <f t="shared" si="12"/>
        <v>0</v>
      </c>
      <c r="I42" s="30">
        <f t="shared" si="12"/>
        <v>0</v>
      </c>
      <c r="J42" s="30">
        <f t="shared" si="12"/>
        <v>0</v>
      </c>
      <c r="K42" s="30">
        <f t="shared" si="12"/>
        <v>0</v>
      </c>
      <c r="L42" s="30">
        <f t="shared" si="12"/>
        <v>0</v>
      </c>
      <c r="M42" s="30">
        <f t="shared" si="12"/>
        <v>0</v>
      </c>
      <c r="N42" s="30">
        <f t="shared" si="12"/>
        <v>0</v>
      </c>
      <c r="O42" s="30">
        <f t="shared" si="12"/>
        <v>0</v>
      </c>
      <c r="P42" s="30">
        <f t="shared" si="12"/>
        <v>0</v>
      </c>
      <c r="Q42" s="30">
        <f t="shared" si="12"/>
        <v>0</v>
      </c>
      <c r="R42" s="30">
        <f t="shared" si="12"/>
        <v>0</v>
      </c>
      <c r="S42" s="30">
        <f t="shared" si="12"/>
        <v>0</v>
      </c>
      <c r="T42" s="30">
        <f t="shared" si="12"/>
        <v>0</v>
      </c>
      <c r="U42" s="30">
        <f t="shared" si="12"/>
        <v>0</v>
      </c>
      <c r="V42">
        <f t="shared" si="5"/>
        <v>0</v>
      </c>
      <c r="W42">
        <f t="shared" si="6"/>
        <v>0</v>
      </c>
      <c r="X42">
        <f>L4*(L4-1)</f>
        <v>380</v>
      </c>
      <c r="Y42">
        <f>L4*V42-W42</f>
        <v>0</v>
      </c>
      <c r="Z42">
        <f t="shared" si="7"/>
        <v>0</v>
      </c>
      <c r="AA42">
        <f t="shared" si="8"/>
        <v>0</v>
      </c>
      <c r="AB42">
        <f t="shared" si="9"/>
        <v>0</v>
      </c>
    </row>
    <row r="43" spans="1:28" x14ac:dyDescent="0.2">
      <c r="A43" s="27">
        <f t="shared" si="10"/>
        <v>54</v>
      </c>
      <c r="B43" s="30">
        <f t="shared" ref="B43:U43" si="13">B15*B15</f>
        <v>0</v>
      </c>
      <c r="C43" s="30">
        <f t="shared" si="13"/>
        <v>0</v>
      </c>
      <c r="D43" s="30">
        <f t="shared" si="13"/>
        <v>0</v>
      </c>
      <c r="E43" s="30">
        <f t="shared" si="13"/>
        <v>0</v>
      </c>
      <c r="F43" s="30">
        <f t="shared" si="13"/>
        <v>0</v>
      </c>
      <c r="G43" s="30">
        <f t="shared" si="13"/>
        <v>0</v>
      </c>
      <c r="H43" s="30">
        <f t="shared" si="13"/>
        <v>0</v>
      </c>
      <c r="I43" s="30">
        <f t="shared" si="13"/>
        <v>0</v>
      </c>
      <c r="J43" s="30">
        <f t="shared" si="13"/>
        <v>0</v>
      </c>
      <c r="K43" s="30">
        <f t="shared" si="13"/>
        <v>0</v>
      </c>
      <c r="L43" s="30">
        <f t="shared" si="13"/>
        <v>0</v>
      </c>
      <c r="M43" s="30">
        <f t="shared" si="13"/>
        <v>0</v>
      </c>
      <c r="N43" s="30">
        <f t="shared" si="13"/>
        <v>0</v>
      </c>
      <c r="O43" s="30">
        <f t="shared" si="13"/>
        <v>0</v>
      </c>
      <c r="P43" s="30">
        <f t="shared" si="13"/>
        <v>0</v>
      </c>
      <c r="Q43" s="30">
        <f t="shared" si="13"/>
        <v>0</v>
      </c>
      <c r="R43" s="30">
        <f t="shared" si="13"/>
        <v>0</v>
      </c>
      <c r="S43" s="30">
        <f t="shared" si="13"/>
        <v>0</v>
      </c>
      <c r="T43" s="30">
        <f t="shared" si="13"/>
        <v>0</v>
      </c>
      <c r="U43" s="30">
        <f t="shared" si="13"/>
        <v>0</v>
      </c>
      <c r="V43">
        <f t="shared" si="5"/>
        <v>0</v>
      </c>
      <c r="W43">
        <f t="shared" si="6"/>
        <v>0</v>
      </c>
      <c r="X43">
        <f>L4*(L4-1)</f>
        <v>380</v>
      </c>
      <c r="Y43">
        <f>L4*V43-W43</f>
        <v>0</v>
      </c>
      <c r="Z43">
        <f t="shared" si="7"/>
        <v>0</v>
      </c>
      <c r="AA43">
        <f t="shared" si="8"/>
        <v>0</v>
      </c>
      <c r="AB43">
        <f t="shared" si="9"/>
        <v>0</v>
      </c>
    </row>
    <row r="44" spans="1:28" x14ac:dyDescent="0.2">
      <c r="A44" s="27">
        <f t="shared" si="10"/>
        <v>55</v>
      </c>
      <c r="B44" s="30">
        <f t="shared" ref="B44:U44" si="14">B16*B16</f>
        <v>0</v>
      </c>
      <c r="C44" s="30">
        <f t="shared" si="14"/>
        <v>0</v>
      </c>
      <c r="D44" s="30">
        <f t="shared" si="14"/>
        <v>0</v>
      </c>
      <c r="E44" s="30">
        <f t="shared" si="14"/>
        <v>0</v>
      </c>
      <c r="F44" s="30">
        <f t="shared" si="14"/>
        <v>0</v>
      </c>
      <c r="G44" s="30">
        <f t="shared" si="14"/>
        <v>0</v>
      </c>
      <c r="H44" s="30">
        <f t="shared" si="14"/>
        <v>0</v>
      </c>
      <c r="I44" s="30">
        <f t="shared" si="14"/>
        <v>0</v>
      </c>
      <c r="J44" s="30">
        <f t="shared" si="14"/>
        <v>0</v>
      </c>
      <c r="K44" s="30">
        <f t="shared" si="14"/>
        <v>0</v>
      </c>
      <c r="L44" s="30">
        <f t="shared" si="14"/>
        <v>0</v>
      </c>
      <c r="M44" s="30">
        <f t="shared" si="14"/>
        <v>0</v>
      </c>
      <c r="N44" s="30">
        <f t="shared" si="14"/>
        <v>0</v>
      </c>
      <c r="O44" s="30">
        <f t="shared" si="14"/>
        <v>0</v>
      </c>
      <c r="P44" s="30">
        <f t="shared" si="14"/>
        <v>0</v>
      </c>
      <c r="Q44" s="30">
        <f t="shared" si="14"/>
        <v>0</v>
      </c>
      <c r="R44" s="30">
        <f t="shared" si="14"/>
        <v>0</v>
      </c>
      <c r="S44" s="30">
        <f t="shared" si="14"/>
        <v>0</v>
      </c>
      <c r="T44" s="30">
        <f t="shared" si="14"/>
        <v>0</v>
      </c>
      <c r="U44" s="30">
        <f t="shared" si="14"/>
        <v>0</v>
      </c>
      <c r="V44">
        <f t="shared" si="5"/>
        <v>0</v>
      </c>
      <c r="W44">
        <f t="shared" si="6"/>
        <v>0</v>
      </c>
      <c r="X44">
        <f>L4*(L4-1)</f>
        <v>380</v>
      </c>
      <c r="Y44">
        <f>L4*V44-W44</f>
        <v>0</v>
      </c>
      <c r="Z44">
        <f t="shared" si="7"/>
        <v>0</v>
      </c>
      <c r="AA44">
        <f t="shared" si="8"/>
        <v>0</v>
      </c>
      <c r="AB44">
        <f t="shared" si="9"/>
        <v>0</v>
      </c>
    </row>
    <row r="45" spans="1:28" x14ac:dyDescent="0.2">
      <c r="A45" s="27">
        <f t="shared" si="10"/>
        <v>56</v>
      </c>
      <c r="B45" s="30">
        <f t="shared" ref="B45:U45" si="15">B17*B17</f>
        <v>0</v>
      </c>
      <c r="C45" s="30">
        <f t="shared" si="15"/>
        <v>0</v>
      </c>
      <c r="D45" s="30">
        <f t="shared" si="15"/>
        <v>0</v>
      </c>
      <c r="E45" s="30">
        <f t="shared" si="15"/>
        <v>0</v>
      </c>
      <c r="F45" s="30">
        <f t="shared" si="15"/>
        <v>0</v>
      </c>
      <c r="G45" s="30">
        <f t="shared" si="15"/>
        <v>0</v>
      </c>
      <c r="H45" s="30">
        <f t="shared" si="15"/>
        <v>0</v>
      </c>
      <c r="I45" s="30">
        <f t="shared" si="15"/>
        <v>0</v>
      </c>
      <c r="J45" s="30">
        <f t="shared" si="15"/>
        <v>0</v>
      </c>
      <c r="K45" s="30">
        <f t="shared" si="15"/>
        <v>0</v>
      </c>
      <c r="L45" s="30">
        <f t="shared" si="15"/>
        <v>0</v>
      </c>
      <c r="M45" s="30">
        <f t="shared" si="15"/>
        <v>0</v>
      </c>
      <c r="N45" s="30">
        <f t="shared" si="15"/>
        <v>0</v>
      </c>
      <c r="O45" s="30">
        <f t="shared" si="15"/>
        <v>0</v>
      </c>
      <c r="P45" s="30">
        <f t="shared" si="15"/>
        <v>0</v>
      </c>
      <c r="Q45" s="30">
        <f t="shared" si="15"/>
        <v>0</v>
      </c>
      <c r="R45" s="30">
        <f t="shared" si="15"/>
        <v>0</v>
      </c>
      <c r="S45" s="30">
        <f t="shared" si="15"/>
        <v>0</v>
      </c>
      <c r="T45" s="30">
        <f t="shared" si="15"/>
        <v>0</v>
      </c>
      <c r="U45" s="30">
        <f t="shared" si="15"/>
        <v>0</v>
      </c>
      <c r="V45">
        <f t="shared" si="5"/>
        <v>0</v>
      </c>
      <c r="W45">
        <f t="shared" si="6"/>
        <v>0</v>
      </c>
      <c r="X45">
        <f>L4*(L4-1)</f>
        <v>380</v>
      </c>
      <c r="Y45">
        <f>L4*V45-W45</f>
        <v>0</v>
      </c>
      <c r="Z45">
        <f t="shared" si="7"/>
        <v>0</v>
      </c>
      <c r="AA45">
        <f t="shared" si="8"/>
        <v>0</v>
      </c>
      <c r="AB45">
        <f t="shared" si="9"/>
        <v>0</v>
      </c>
    </row>
    <row r="46" spans="1:28" x14ac:dyDescent="0.2">
      <c r="A46" s="27">
        <f t="shared" si="10"/>
        <v>57</v>
      </c>
      <c r="B46" s="30">
        <f t="shared" ref="B46:U46" si="16">B18*B18</f>
        <v>0</v>
      </c>
      <c r="C46" s="30">
        <f t="shared" si="16"/>
        <v>0</v>
      </c>
      <c r="D46" s="30">
        <f t="shared" si="16"/>
        <v>0</v>
      </c>
      <c r="E46" s="30">
        <f t="shared" si="16"/>
        <v>0</v>
      </c>
      <c r="F46" s="30">
        <f t="shared" si="16"/>
        <v>0</v>
      </c>
      <c r="G46" s="30">
        <f t="shared" si="16"/>
        <v>0</v>
      </c>
      <c r="H46" s="30">
        <f t="shared" si="16"/>
        <v>0</v>
      </c>
      <c r="I46" s="30">
        <f t="shared" si="16"/>
        <v>0</v>
      </c>
      <c r="J46" s="30">
        <f t="shared" si="16"/>
        <v>0</v>
      </c>
      <c r="K46" s="30">
        <f t="shared" si="16"/>
        <v>0</v>
      </c>
      <c r="L46" s="30">
        <f t="shared" si="16"/>
        <v>0</v>
      </c>
      <c r="M46" s="30">
        <f t="shared" si="16"/>
        <v>0</v>
      </c>
      <c r="N46" s="30">
        <f t="shared" si="16"/>
        <v>0</v>
      </c>
      <c r="O46" s="30">
        <f t="shared" si="16"/>
        <v>0</v>
      </c>
      <c r="P46" s="30">
        <f t="shared" si="16"/>
        <v>0</v>
      </c>
      <c r="Q46" s="30">
        <f t="shared" si="16"/>
        <v>0</v>
      </c>
      <c r="R46" s="30">
        <f t="shared" si="16"/>
        <v>0</v>
      </c>
      <c r="S46" s="30">
        <f t="shared" si="16"/>
        <v>0</v>
      </c>
      <c r="T46" s="30">
        <f t="shared" si="16"/>
        <v>0</v>
      </c>
      <c r="U46" s="30">
        <f t="shared" si="16"/>
        <v>0</v>
      </c>
      <c r="V46">
        <f t="shared" si="5"/>
        <v>0</v>
      </c>
      <c r="W46">
        <f t="shared" si="6"/>
        <v>0</v>
      </c>
      <c r="X46">
        <f>L4*(L4-1)</f>
        <v>380</v>
      </c>
      <c r="Y46">
        <f>L4*V46-W46</f>
        <v>0</v>
      </c>
      <c r="Z46">
        <f t="shared" si="7"/>
        <v>0</v>
      </c>
      <c r="AA46">
        <f t="shared" si="8"/>
        <v>0</v>
      </c>
      <c r="AB46">
        <f t="shared" si="9"/>
        <v>0</v>
      </c>
    </row>
    <row r="47" spans="1:28" x14ac:dyDescent="0.2">
      <c r="A47" s="27">
        <f t="shared" si="10"/>
        <v>58</v>
      </c>
      <c r="B47" s="30">
        <f t="shared" ref="B47:U47" si="17">B19*B19</f>
        <v>0</v>
      </c>
      <c r="C47" s="30">
        <f t="shared" si="17"/>
        <v>0</v>
      </c>
      <c r="D47" s="30">
        <f t="shared" si="17"/>
        <v>0</v>
      </c>
      <c r="E47" s="30">
        <f t="shared" si="17"/>
        <v>0</v>
      </c>
      <c r="F47" s="30">
        <f t="shared" si="17"/>
        <v>0</v>
      </c>
      <c r="G47" s="30">
        <f t="shared" si="17"/>
        <v>0</v>
      </c>
      <c r="H47" s="30">
        <f t="shared" si="17"/>
        <v>0</v>
      </c>
      <c r="I47" s="30">
        <f t="shared" si="17"/>
        <v>0</v>
      </c>
      <c r="J47" s="30">
        <f t="shared" si="17"/>
        <v>0</v>
      </c>
      <c r="K47" s="30">
        <f t="shared" si="17"/>
        <v>0</v>
      </c>
      <c r="L47" s="30">
        <f t="shared" si="17"/>
        <v>0</v>
      </c>
      <c r="M47" s="30">
        <f t="shared" si="17"/>
        <v>0</v>
      </c>
      <c r="N47" s="30">
        <f t="shared" si="17"/>
        <v>0</v>
      </c>
      <c r="O47" s="30">
        <f t="shared" si="17"/>
        <v>0</v>
      </c>
      <c r="P47" s="30">
        <f t="shared" si="17"/>
        <v>0</v>
      </c>
      <c r="Q47" s="30">
        <f t="shared" si="17"/>
        <v>0</v>
      </c>
      <c r="R47" s="30">
        <f t="shared" si="17"/>
        <v>0</v>
      </c>
      <c r="S47" s="30">
        <f t="shared" si="17"/>
        <v>0</v>
      </c>
      <c r="T47" s="30">
        <f t="shared" si="17"/>
        <v>0</v>
      </c>
      <c r="U47" s="30">
        <f t="shared" si="17"/>
        <v>0</v>
      </c>
      <c r="V47">
        <f t="shared" si="5"/>
        <v>0</v>
      </c>
      <c r="W47">
        <f t="shared" si="6"/>
        <v>0</v>
      </c>
      <c r="X47">
        <f>L4*(L4-1)</f>
        <v>380</v>
      </c>
      <c r="Y47">
        <f>L4*V47-W47</f>
        <v>0</v>
      </c>
      <c r="Z47">
        <f t="shared" si="7"/>
        <v>0</v>
      </c>
      <c r="AA47">
        <f t="shared" si="8"/>
        <v>0</v>
      </c>
      <c r="AB47">
        <f t="shared" si="9"/>
        <v>0</v>
      </c>
    </row>
    <row r="48" spans="1:28" x14ac:dyDescent="0.2">
      <c r="A48" s="27">
        <f t="shared" si="10"/>
        <v>59</v>
      </c>
      <c r="B48" s="30">
        <f t="shared" ref="B48:U48" si="18">B20*B20</f>
        <v>0</v>
      </c>
      <c r="C48" s="30">
        <f t="shared" si="18"/>
        <v>0</v>
      </c>
      <c r="D48" s="30">
        <f t="shared" si="18"/>
        <v>0</v>
      </c>
      <c r="E48" s="30">
        <f t="shared" si="18"/>
        <v>0</v>
      </c>
      <c r="F48" s="30">
        <f t="shared" si="18"/>
        <v>0</v>
      </c>
      <c r="G48" s="30">
        <f t="shared" si="18"/>
        <v>0</v>
      </c>
      <c r="H48" s="30">
        <f t="shared" si="18"/>
        <v>0</v>
      </c>
      <c r="I48" s="30">
        <f t="shared" si="18"/>
        <v>0</v>
      </c>
      <c r="J48" s="30">
        <f t="shared" si="18"/>
        <v>0</v>
      </c>
      <c r="K48" s="30">
        <f t="shared" si="18"/>
        <v>0</v>
      </c>
      <c r="L48" s="30">
        <f t="shared" si="18"/>
        <v>0</v>
      </c>
      <c r="M48" s="30">
        <f t="shared" si="18"/>
        <v>0</v>
      </c>
      <c r="N48" s="30">
        <f t="shared" si="18"/>
        <v>0</v>
      </c>
      <c r="O48" s="30">
        <f t="shared" si="18"/>
        <v>0</v>
      </c>
      <c r="P48" s="30">
        <f t="shared" si="18"/>
        <v>0</v>
      </c>
      <c r="Q48" s="30">
        <f t="shared" si="18"/>
        <v>0</v>
      </c>
      <c r="R48" s="30">
        <f t="shared" si="18"/>
        <v>0</v>
      </c>
      <c r="S48" s="30">
        <f t="shared" si="18"/>
        <v>0</v>
      </c>
      <c r="T48" s="30">
        <f t="shared" si="18"/>
        <v>0</v>
      </c>
      <c r="U48" s="30">
        <f t="shared" si="18"/>
        <v>0</v>
      </c>
      <c r="V48">
        <f t="shared" si="5"/>
        <v>0</v>
      </c>
      <c r="W48">
        <f t="shared" si="6"/>
        <v>0</v>
      </c>
      <c r="X48">
        <f>L4*(L4-1)</f>
        <v>380</v>
      </c>
      <c r="Y48">
        <f>L4*V48-W48</f>
        <v>0</v>
      </c>
      <c r="Z48">
        <f t="shared" si="7"/>
        <v>0</v>
      </c>
      <c r="AA48">
        <f t="shared" si="8"/>
        <v>0</v>
      </c>
      <c r="AB48">
        <f t="shared" si="9"/>
        <v>0</v>
      </c>
    </row>
    <row r="49" spans="1:28" x14ac:dyDescent="0.2">
      <c r="A49" s="27">
        <f t="shared" si="10"/>
        <v>60</v>
      </c>
      <c r="B49" s="30">
        <f t="shared" ref="B49:U49" si="19">B21*B21</f>
        <v>0</v>
      </c>
      <c r="C49" s="30">
        <f t="shared" si="19"/>
        <v>0</v>
      </c>
      <c r="D49" s="30">
        <f t="shared" si="19"/>
        <v>0</v>
      </c>
      <c r="E49" s="30">
        <f t="shared" si="19"/>
        <v>0</v>
      </c>
      <c r="F49" s="30">
        <f t="shared" si="19"/>
        <v>0</v>
      </c>
      <c r="G49" s="30">
        <f t="shared" si="19"/>
        <v>0</v>
      </c>
      <c r="H49" s="30">
        <f t="shared" si="19"/>
        <v>0</v>
      </c>
      <c r="I49" s="30">
        <f t="shared" si="19"/>
        <v>0</v>
      </c>
      <c r="J49" s="30">
        <f t="shared" si="19"/>
        <v>0</v>
      </c>
      <c r="K49" s="30">
        <f t="shared" si="19"/>
        <v>0</v>
      </c>
      <c r="L49" s="30">
        <f t="shared" si="19"/>
        <v>0</v>
      </c>
      <c r="M49" s="30">
        <f t="shared" si="19"/>
        <v>0</v>
      </c>
      <c r="N49" s="30">
        <f t="shared" si="19"/>
        <v>0</v>
      </c>
      <c r="O49" s="30">
        <f t="shared" si="19"/>
        <v>0</v>
      </c>
      <c r="P49" s="30">
        <f t="shared" si="19"/>
        <v>0</v>
      </c>
      <c r="Q49" s="30">
        <f t="shared" si="19"/>
        <v>0</v>
      </c>
      <c r="R49" s="30">
        <f t="shared" si="19"/>
        <v>0</v>
      </c>
      <c r="S49" s="30">
        <f t="shared" si="19"/>
        <v>0</v>
      </c>
      <c r="T49" s="30">
        <f t="shared" si="19"/>
        <v>0</v>
      </c>
      <c r="U49" s="30">
        <f t="shared" si="19"/>
        <v>0</v>
      </c>
      <c r="V49">
        <f t="shared" si="5"/>
        <v>0</v>
      </c>
      <c r="W49">
        <f t="shared" si="6"/>
        <v>0</v>
      </c>
      <c r="X49">
        <f>L4*(L4-1)</f>
        <v>380</v>
      </c>
      <c r="Y49">
        <f>L4*V49-W49</f>
        <v>0</v>
      </c>
      <c r="Z49">
        <f t="shared" si="7"/>
        <v>0</v>
      </c>
      <c r="AA49">
        <f t="shared" si="8"/>
        <v>0</v>
      </c>
      <c r="AB49">
        <f t="shared" si="9"/>
        <v>0</v>
      </c>
    </row>
    <row r="50" spans="1:28" x14ac:dyDescent="0.2">
      <c r="A50" s="27"/>
      <c r="B50" s="30"/>
      <c r="C50" s="30"/>
      <c r="D50" s="30"/>
      <c r="E50" s="30"/>
      <c r="F50" s="30"/>
      <c r="G50" s="30"/>
      <c r="H50" s="30"/>
      <c r="I50" s="30"/>
      <c r="J50" s="30"/>
      <c r="K50" s="30"/>
      <c r="L50" s="30"/>
      <c r="M50" s="30"/>
      <c r="N50" s="30"/>
      <c r="O50" s="30"/>
      <c r="P50" s="30"/>
      <c r="Q50" s="30"/>
      <c r="R50" s="30"/>
      <c r="S50" s="30"/>
      <c r="T50" s="30"/>
      <c r="U50" s="30"/>
    </row>
    <row r="51" spans="1:28" x14ac:dyDescent="0.2">
      <c r="A51" s="27"/>
      <c r="B51" s="30"/>
      <c r="C51" s="30"/>
      <c r="D51" s="30"/>
      <c r="E51" s="30"/>
      <c r="F51" s="30"/>
      <c r="G51" s="30"/>
      <c r="H51" s="30"/>
      <c r="I51" s="30"/>
      <c r="J51" s="30"/>
      <c r="K51" s="30"/>
      <c r="L51" s="30"/>
      <c r="M51" s="30"/>
      <c r="N51" s="30"/>
      <c r="O51" s="30"/>
      <c r="P51" s="30"/>
      <c r="Q51" s="30"/>
      <c r="R51" s="30"/>
      <c r="S51" s="30"/>
      <c r="T51" s="30"/>
      <c r="U51" s="30"/>
    </row>
    <row r="52" spans="1:28" x14ac:dyDescent="0.2">
      <c r="A52" s="27"/>
      <c r="B52" s="30"/>
      <c r="C52" s="30"/>
      <c r="D52" s="30"/>
      <c r="E52" s="30"/>
      <c r="F52" s="30"/>
      <c r="G52" s="30"/>
      <c r="H52" s="30"/>
      <c r="I52" s="30"/>
      <c r="J52" s="30"/>
      <c r="K52" s="30"/>
      <c r="L52" s="30"/>
      <c r="M52" s="30"/>
      <c r="N52" s="30"/>
      <c r="O52" s="30"/>
      <c r="P52" s="30"/>
      <c r="Q52" s="30"/>
      <c r="R52" s="30"/>
      <c r="S52" s="30"/>
      <c r="T52" s="30"/>
      <c r="U52" s="30"/>
    </row>
    <row r="53" spans="1:28" x14ac:dyDescent="0.2">
      <c r="A53" s="27"/>
      <c r="B53" s="30"/>
      <c r="C53" s="30"/>
      <c r="D53" s="30"/>
      <c r="E53" s="30"/>
      <c r="F53" s="30"/>
      <c r="G53" s="30"/>
      <c r="H53" s="30"/>
      <c r="I53" s="30"/>
      <c r="J53" s="30"/>
      <c r="K53" s="30"/>
      <c r="L53" s="30"/>
      <c r="M53" s="30"/>
      <c r="N53" s="30"/>
      <c r="O53" s="30"/>
      <c r="P53" s="30"/>
      <c r="Q53" s="30"/>
      <c r="R53" s="30"/>
      <c r="S53" s="30"/>
      <c r="T53" s="30"/>
      <c r="U53" s="30"/>
    </row>
    <row r="54" spans="1:28" x14ac:dyDescent="0.2">
      <c r="A54" s="27"/>
      <c r="B54" s="30"/>
      <c r="C54" s="30"/>
      <c r="D54" s="30"/>
      <c r="E54" s="30"/>
      <c r="F54" s="30"/>
      <c r="G54" s="30"/>
      <c r="H54" s="30"/>
      <c r="I54" s="30"/>
      <c r="J54" s="30"/>
      <c r="K54" s="30"/>
      <c r="L54" s="30"/>
      <c r="M54" s="30"/>
      <c r="N54" s="30"/>
      <c r="O54" s="30"/>
      <c r="P54" s="30"/>
      <c r="Q54" s="30"/>
      <c r="R54" s="30"/>
      <c r="S54" s="30"/>
      <c r="T54" s="30"/>
      <c r="U54" s="30"/>
    </row>
    <row r="55" spans="1:28" x14ac:dyDescent="0.2">
      <c r="A55" s="27"/>
      <c r="B55" s="30"/>
      <c r="C55" s="30"/>
      <c r="D55" s="30"/>
      <c r="E55" s="30"/>
      <c r="F55" s="30"/>
      <c r="G55" s="30"/>
      <c r="H55" s="30"/>
      <c r="I55" s="30"/>
      <c r="J55" s="30"/>
      <c r="K55" s="30"/>
      <c r="L55" s="30"/>
      <c r="M55" s="30"/>
      <c r="N55" s="30"/>
      <c r="O55" s="30"/>
      <c r="P55" s="30"/>
      <c r="Q55" s="30"/>
      <c r="R55" s="30"/>
      <c r="S55" s="30"/>
      <c r="T55" s="30"/>
      <c r="U55" s="30"/>
    </row>
  </sheetData>
  <pageMargins left="0.78740157499999996" right="0.78740157499999996" top="0.984251969" bottom="0.984251969" header="0.5" footer="0.5"/>
  <pageSetup paperSize="9" orientation="landscape"/>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3"/>
  <dimension ref="A1:AB55"/>
  <sheetViews>
    <sheetView workbookViewId="0">
      <selection activeCell="W2" sqref="W2:AB7"/>
    </sheetView>
  </sheetViews>
  <sheetFormatPr baseColWidth="10" defaultColWidth="8.85546875" defaultRowHeight="12.75" x14ac:dyDescent="0.2"/>
  <cols>
    <col min="1" max="1" width="6.28515625" customWidth="1"/>
    <col min="2" max="21" width="3.7109375" customWidth="1"/>
    <col min="22" max="22" width="7.85546875" customWidth="1"/>
    <col min="23" max="23" width="10.7109375" bestFit="1" customWidth="1"/>
    <col min="24" max="24" width="8.85546875" customWidth="1"/>
    <col min="25" max="25" width="6.85546875" customWidth="1"/>
    <col min="26" max="26" width="16.42578125" customWidth="1"/>
  </cols>
  <sheetData>
    <row r="1" spans="1:28" ht="18" x14ac:dyDescent="0.25">
      <c r="A1" s="1" t="s">
        <v>27</v>
      </c>
    </row>
    <row r="2" spans="1:28" x14ac:dyDescent="0.2">
      <c r="L2" s="25" t="s">
        <v>61</v>
      </c>
      <c r="M2" s="4"/>
      <c r="N2" s="4"/>
      <c r="O2" s="4"/>
      <c r="P2" s="4"/>
      <c r="Q2" s="4"/>
      <c r="R2" s="4"/>
      <c r="S2" s="4"/>
      <c r="T2" s="4"/>
      <c r="U2" s="5"/>
      <c r="W2" s="25"/>
      <c r="X2" s="4"/>
      <c r="Y2" s="4"/>
      <c r="Z2" s="4"/>
      <c r="AA2" s="4"/>
      <c r="AB2" s="5"/>
    </row>
    <row r="3" spans="1:28" ht="13.5" thickBot="1" x14ac:dyDescent="0.25">
      <c r="B3" s="3" t="s">
        <v>32</v>
      </c>
      <c r="C3" s="7"/>
      <c r="D3" s="7"/>
      <c r="G3" s="7"/>
      <c r="H3" s="7"/>
      <c r="I3" s="7"/>
      <c r="J3" s="7"/>
      <c r="K3" s="7"/>
      <c r="L3" s="47" t="s">
        <v>62</v>
      </c>
      <c r="M3" s="7"/>
      <c r="N3" s="7"/>
      <c r="O3" s="7"/>
      <c r="P3" s="21">
        <f>V28*V28</f>
        <v>0</v>
      </c>
      <c r="Q3" s="40" t="s">
        <v>13</v>
      </c>
      <c r="S3" s="7"/>
      <c r="T3" s="7"/>
      <c r="U3" s="8"/>
      <c r="W3" s="33"/>
      <c r="X3" s="7"/>
      <c r="Y3" s="7"/>
      <c r="Z3" s="7"/>
      <c r="AA3" s="7"/>
      <c r="AB3" s="8"/>
    </row>
    <row r="4" spans="1:28" x14ac:dyDescent="0.2">
      <c r="A4" s="22">
        <f>(P8/L6)*100</f>
        <v>0</v>
      </c>
      <c r="B4" s="13" t="s">
        <v>51</v>
      </c>
      <c r="C4" s="14"/>
      <c r="D4" s="14"/>
      <c r="E4" s="14"/>
      <c r="F4" s="15"/>
      <c r="G4" s="15"/>
      <c r="H4" s="15"/>
      <c r="I4" s="15"/>
      <c r="J4" s="16"/>
      <c r="K4" s="7"/>
      <c r="L4" s="60">
        <f>Aperçu!N2</f>
        <v>20</v>
      </c>
      <c r="M4" s="7"/>
      <c r="N4" s="7"/>
      <c r="O4" s="7"/>
      <c r="P4" s="6">
        <f>L4*(L4-1)</f>
        <v>380</v>
      </c>
      <c r="Q4" s="40" t="s">
        <v>14</v>
      </c>
      <c r="S4" s="7"/>
      <c r="T4" s="7"/>
      <c r="U4" s="8"/>
      <c r="W4" s="33"/>
      <c r="X4" s="7"/>
      <c r="Y4" s="7"/>
      <c r="Z4" s="7"/>
      <c r="AA4" s="7"/>
      <c r="AB4" s="8"/>
    </row>
    <row r="5" spans="1:28" ht="13.5" thickBot="1" x14ac:dyDescent="0.25">
      <c r="A5" s="23">
        <f>100-(P9*2)</f>
        <v>100</v>
      </c>
      <c r="B5" s="17" t="s">
        <v>52</v>
      </c>
      <c r="C5" s="18"/>
      <c r="D5" s="18"/>
      <c r="E5" s="18"/>
      <c r="F5" s="19"/>
      <c r="G5" s="19"/>
      <c r="H5" s="19"/>
      <c r="I5" s="19"/>
      <c r="J5" s="20"/>
      <c r="K5" s="7"/>
      <c r="L5" s="47" t="s">
        <v>63</v>
      </c>
      <c r="M5" s="7"/>
      <c r="N5" s="7"/>
      <c r="O5" s="7"/>
      <c r="P5" s="21">
        <f>(L4*V29)-P3</f>
        <v>0</v>
      </c>
      <c r="Q5" s="40" t="s">
        <v>124</v>
      </c>
      <c r="S5" s="7"/>
      <c r="T5" s="7"/>
      <c r="U5" s="8"/>
      <c r="W5" s="33"/>
      <c r="X5" s="7"/>
      <c r="Y5" s="7"/>
      <c r="Z5" s="7"/>
      <c r="AA5" s="7"/>
      <c r="AB5" s="8"/>
    </row>
    <row r="6" spans="1:28" x14ac:dyDescent="0.2">
      <c r="K6" s="7"/>
      <c r="L6" s="60">
        <f>10*5</f>
        <v>50</v>
      </c>
      <c r="M6" s="7"/>
      <c r="N6" s="9"/>
      <c r="O6" s="7"/>
      <c r="P6" s="6">
        <f>P5/P4</f>
        <v>0</v>
      </c>
      <c r="Q6" s="40" t="s">
        <v>15</v>
      </c>
      <c r="S6" s="7"/>
      <c r="T6" s="7"/>
      <c r="U6" s="8"/>
      <c r="W6" s="33"/>
      <c r="X6" s="7"/>
      <c r="Y6" s="7"/>
      <c r="Z6" s="7"/>
      <c r="AA6" s="7"/>
      <c r="AB6" s="8"/>
    </row>
    <row r="7" spans="1:28" x14ac:dyDescent="0.2">
      <c r="C7" s="7"/>
      <c r="D7" s="7"/>
      <c r="G7" s="7"/>
      <c r="H7" s="7"/>
      <c r="I7" s="7"/>
      <c r="J7" s="7"/>
      <c r="K7" s="7"/>
      <c r="L7" s="47" t="s">
        <v>64</v>
      </c>
      <c r="M7" s="7"/>
      <c r="N7" s="9"/>
      <c r="O7" s="7"/>
      <c r="P7" s="6">
        <f>SQRT(P6)</f>
        <v>0</v>
      </c>
      <c r="Q7" s="40" t="s">
        <v>16</v>
      </c>
      <c r="S7" s="7"/>
      <c r="T7" s="7"/>
      <c r="U7" s="8"/>
      <c r="W7" s="46"/>
      <c r="X7" s="11"/>
      <c r="Y7" s="11"/>
      <c r="Z7" s="11"/>
      <c r="AA7" s="11"/>
      <c r="AB7" s="12"/>
    </row>
    <row r="8" spans="1:28" x14ac:dyDescent="0.2">
      <c r="C8" s="7"/>
      <c r="D8" s="7"/>
      <c r="G8" s="7"/>
      <c r="H8" s="7"/>
      <c r="I8" s="7"/>
      <c r="J8" s="7"/>
      <c r="L8" s="60">
        <v>10</v>
      </c>
      <c r="M8" s="7"/>
      <c r="N8" s="7"/>
      <c r="O8" s="7"/>
      <c r="P8" s="7">
        <f>V28/L4</f>
        <v>0</v>
      </c>
      <c r="Q8" s="40" t="s">
        <v>29</v>
      </c>
      <c r="R8" s="7"/>
      <c r="S8" s="7"/>
      <c r="T8" s="7"/>
      <c r="U8" s="8"/>
    </row>
    <row r="9" spans="1:28" x14ac:dyDescent="0.2">
      <c r="L9" s="10"/>
      <c r="M9" s="11"/>
      <c r="N9" s="11"/>
      <c r="O9" s="11"/>
      <c r="P9" s="11">
        <f>P7/((L8*5)-(L8*1))*100</f>
        <v>0</v>
      </c>
      <c r="Q9" s="41" t="s">
        <v>28</v>
      </c>
      <c r="R9" s="11"/>
      <c r="S9" s="11"/>
      <c r="T9" s="11"/>
      <c r="U9" s="12"/>
    </row>
    <row r="10" spans="1:28" x14ac:dyDescent="0.2">
      <c r="A10" s="3"/>
      <c r="B10" s="84" t="s">
        <v>199</v>
      </c>
      <c r="C10" s="84"/>
      <c r="D10" s="84"/>
      <c r="E10" s="84"/>
      <c r="F10" s="84"/>
      <c r="G10" s="84"/>
      <c r="H10" s="84"/>
      <c r="I10" s="84"/>
      <c r="J10" s="84"/>
      <c r="K10" s="84"/>
      <c r="L10" s="84"/>
      <c r="M10" s="84"/>
      <c r="N10" s="84"/>
      <c r="O10" s="84"/>
      <c r="P10" s="84"/>
      <c r="Q10" s="84"/>
      <c r="R10" s="84"/>
      <c r="S10" s="84"/>
      <c r="T10" s="84"/>
      <c r="U10" s="84"/>
      <c r="W10" s="25" t="s">
        <v>10</v>
      </c>
      <c r="X10" s="35"/>
      <c r="Y10" s="4"/>
      <c r="Z10" s="4"/>
      <c r="AA10" s="4"/>
      <c r="AB10" s="5"/>
    </row>
    <row r="11" spans="1:28" x14ac:dyDescent="0.2">
      <c r="A11" s="89" t="s">
        <v>200</v>
      </c>
      <c r="B11" s="27">
        <v>1</v>
      </c>
      <c r="C11" s="27">
        <v>2</v>
      </c>
      <c r="D11" s="27">
        <v>3</v>
      </c>
      <c r="E11" s="27">
        <v>4</v>
      </c>
      <c r="F11" s="27">
        <v>5</v>
      </c>
      <c r="G11" s="27">
        <v>6</v>
      </c>
      <c r="H11" s="27">
        <v>7</v>
      </c>
      <c r="I11" s="27">
        <v>8</v>
      </c>
      <c r="J11" s="27">
        <v>9</v>
      </c>
      <c r="K11" s="27">
        <v>10</v>
      </c>
      <c r="L11" s="27">
        <v>11</v>
      </c>
      <c r="M11" s="27">
        <v>12</v>
      </c>
      <c r="N11" s="27">
        <v>13</v>
      </c>
      <c r="O11" s="27">
        <v>14</v>
      </c>
      <c r="P11" s="27">
        <v>15</v>
      </c>
      <c r="Q11" s="27">
        <v>16</v>
      </c>
      <c r="R11" s="27">
        <v>17</v>
      </c>
      <c r="S11" s="27">
        <v>18</v>
      </c>
      <c r="T11" s="27">
        <v>19</v>
      </c>
      <c r="U11" s="27">
        <v>20</v>
      </c>
      <c r="V11" s="90" t="s">
        <v>68</v>
      </c>
      <c r="W11" s="26" t="s">
        <v>33</v>
      </c>
      <c r="X11" s="9" t="s">
        <v>34</v>
      </c>
      <c r="Y11" s="34" t="s">
        <v>67</v>
      </c>
      <c r="Z11" s="7"/>
      <c r="AA11" s="7"/>
      <c r="AB11" s="8"/>
    </row>
    <row r="12" spans="1:28" x14ac:dyDescent="0.2">
      <c r="A12" s="27">
        <v>61</v>
      </c>
      <c r="B12" s="30"/>
      <c r="C12" s="30"/>
      <c r="D12" s="30"/>
      <c r="E12" s="30"/>
      <c r="F12" s="30"/>
      <c r="G12" s="30"/>
      <c r="H12" s="30"/>
      <c r="I12" s="30"/>
      <c r="J12" s="30"/>
      <c r="K12" s="30"/>
      <c r="L12" s="30"/>
      <c r="M12" s="30"/>
      <c r="N12" s="30"/>
      <c r="O12" s="30"/>
      <c r="P12" s="30"/>
      <c r="Q12" s="30"/>
      <c r="R12" s="30"/>
      <c r="S12" s="30"/>
      <c r="T12" s="30"/>
      <c r="U12" s="30"/>
      <c r="V12" s="30">
        <f t="shared" ref="V12:V29" si="0">SUM(B12:U12)</f>
        <v>0</v>
      </c>
      <c r="W12" s="36">
        <f>V12/L4*20</f>
        <v>0</v>
      </c>
      <c r="X12" s="37">
        <f t="shared" ref="X12:X21" si="1">100-(AB40*2)</f>
        <v>100</v>
      </c>
      <c r="Y12" s="44" t="s">
        <v>2</v>
      </c>
      <c r="Z12" s="7"/>
      <c r="AA12" s="7"/>
      <c r="AB12" s="8"/>
    </row>
    <row r="13" spans="1:28" x14ac:dyDescent="0.2">
      <c r="A13" s="27">
        <v>62</v>
      </c>
      <c r="B13" s="30"/>
      <c r="C13" s="30"/>
      <c r="D13" s="30"/>
      <c r="E13" s="30"/>
      <c r="F13" s="30"/>
      <c r="G13" s="30"/>
      <c r="H13" s="30"/>
      <c r="I13" s="30"/>
      <c r="J13" s="30"/>
      <c r="K13" s="30"/>
      <c r="L13" s="30"/>
      <c r="M13" s="30"/>
      <c r="N13" s="30"/>
      <c r="O13" s="30"/>
      <c r="P13" s="30"/>
      <c r="Q13" s="30"/>
      <c r="R13" s="30"/>
      <c r="S13" s="30"/>
      <c r="T13" s="30"/>
      <c r="U13" s="30"/>
      <c r="V13" s="30">
        <f t="shared" si="0"/>
        <v>0</v>
      </c>
      <c r="W13" s="36">
        <f>V13/L4*20</f>
        <v>0</v>
      </c>
      <c r="X13" s="37">
        <f t="shared" si="1"/>
        <v>100</v>
      </c>
      <c r="Y13" s="44" t="s">
        <v>3</v>
      </c>
      <c r="Z13" s="7"/>
      <c r="AA13" s="7"/>
      <c r="AB13" s="8"/>
    </row>
    <row r="14" spans="1:28" x14ac:dyDescent="0.2">
      <c r="A14" s="27">
        <v>63</v>
      </c>
      <c r="B14" s="30"/>
      <c r="C14" s="30"/>
      <c r="D14" s="30"/>
      <c r="E14" s="30"/>
      <c r="F14" s="30"/>
      <c r="G14" s="30"/>
      <c r="H14" s="30"/>
      <c r="I14" s="30"/>
      <c r="J14" s="30"/>
      <c r="K14" s="30"/>
      <c r="L14" s="30"/>
      <c r="M14" s="30"/>
      <c r="N14" s="30"/>
      <c r="O14" s="30"/>
      <c r="P14" s="30"/>
      <c r="Q14" s="30"/>
      <c r="R14" s="30"/>
      <c r="S14" s="30"/>
      <c r="T14" s="30"/>
      <c r="U14" s="30"/>
      <c r="V14" s="30">
        <f t="shared" si="0"/>
        <v>0</v>
      </c>
      <c r="W14" s="36">
        <f>V14/L4*20</f>
        <v>0</v>
      </c>
      <c r="X14" s="37">
        <f t="shared" si="1"/>
        <v>100</v>
      </c>
      <c r="Y14" s="44" t="s">
        <v>4</v>
      </c>
      <c r="Z14" s="7"/>
      <c r="AA14" s="7"/>
      <c r="AB14" s="8"/>
    </row>
    <row r="15" spans="1:28" x14ac:dyDescent="0.2">
      <c r="A15" s="27">
        <v>64</v>
      </c>
      <c r="B15" s="30"/>
      <c r="C15" s="30"/>
      <c r="D15" s="30"/>
      <c r="E15" s="30"/>
      <c r="F15" s="30"/>
      <c r="G15" s="30"/>
      <c r="H15" s="30"/>
      <c r="I15" s="30"/>
      <c r="J15" s="30"/>
      <c r="K15" s="30"/>
      <c r="L15" s="30"/>
      <c r="M15" s="30"/>
      <c r="N15" s="30"/>
      <c r="O15" s="30"/>
      <c r="P15" s="30"/>
      <c r="Q15" s="30"/>
      <c r="R15" s="30"/>
      <c r="S15" s="30"/>
      <c r="T15" s="30"/>
      <c r="U15" s="30"/>
      <c r="V15" s="30">
        <f t="shared" si="0"/>
        <v>0</v>
      </c>
      <c r="W15" s="36">
        <f>V15/L4*20</f>
        <v>0</v>
      </c>
      <c r="X15" s="37">
        <f t="shared" si="1"/>
        <v>100</v>
      </c>
      <c r="Y15" s="44" t="s">
        <v>43</v>
      </c>
      <c r="Z15" s="7"/>
      <c r="AA15" s="7"/>
      <c r="AB15" s="8"/>
    </row>
    <row r="16" spans="1:28" x14ac:dyDescent="0.2">
      <c r="A16" s="27">
        <v>65</v>
      </c>
      <c r="B16" s="30"/>
      <c r="C16" s="30"/>
      <c r="D16" s="30"/>
      <c r="E16" s="30"/>
      <c r="F16" s="30"/>
      <c r="G16" s="30"/>
      <c r="H16" s="30"/>
      <c r="I16" s="30"/>
      <c r="J16" s="30"/>
      <c r="K16" s="30"/>
      <c r="L16" s="30"/>
      <c r="M16" s="30"/>
      <c r="N16" s="30"/>
      <c r="O16" s="30"/>
      <c r="P16" s="30"/>
      <c r="Q16" s="30"/>
      <c r="R16" s="30"/>
      <c r="S16" s="30"/>
      <c r="T16" s="30"/>
      <c r="U16" s="30"/>
      <c r="V16" s="30">
        <f t="shared" si="0"/>
        <v>0</v>
      </c>
      <c r="W16" s="36">
        <f>V16/L4*20</f>
        <v>0</v>
      </c>
      <c r="X16" s="37">
        <f t="shared" si="1"/>
        <v>100</v>
      </c>
      <c r="Y16" s="44" t="s">
        <v>44</v>
      </c>
      <c r="Z16" s="7"/>
      <c r="AA16" s="7"/>
      <c r="AB16" s="8"/>
    </row>
    <row r="17" spans="1:28" x14ac:dyDescent="0.2">
      <c r="A17" s="27">
        <v>66</v>
      </c>
      <c r="B17" s="30"/>
      <c r="C17" s="30"/>
      <c r="D17" s="30"/>
      <c r="E17" s="30"/>
      <c r="F17" s="30"/>
      <c r="G17" s="30"/>
      <c r="H17" s="30"/>
      <c r="I17" s="30"/>
      <c r="J17" s="30"/>
      <c r="K17" s="30"/>
      <c r="L17" s="30"/>
      <c r="M17" s="30"/>
      <c r="N17" s="30"/>
      <c r="O17" s="30"/>
      <c r="P17" s="30"/>
      <c r="Q17" s="30"/>
      <c r="R17" s="30"/>
      <c r="S17" s="30"/>
      <c r="T17" s="30"/>
      <c r="U17" s="30"/>
      <c r="V17" s="30">
        <f t="shared" si="0"/>
        <v>0</v>
      </c>
      <c r="W17" s="36">
        <f>V17/L4*20</f>
        <v>0</v>
      </c>
      <c r="X17" s="37">
        <f t="shared" si="1"/>
        <v>100</v>
      </c>
      <c r="Y17" s="44" t="s">
        <v>45</v>
      </c>
      <c r="Z17" s="7"/>
      <c r="AA17" s="7"/>
      <c r="AB17" s="8"/>
    </row>
    <row r="18" spans="1:28" x14ac:dyDescent="0.2">
      <c r="A18" s="27">
        <v>67</v>
      </c>
      <c r="B18" s="30"/>
      <c r="C18" s="30"/>
      <c r="D18" s="30"/>
      <c r="E18" s="30"/>
      <c r="F18" s="30"/>
      <c r="G18" s="30"/>
      <c r="H18" s="30"/>
      <c r="I18" s="30"/>
      <c r="J18" s="30"/>
      <c r="K18" s="30"/>
      <c r="L18" s="30"/>
      <c r="M18" s="30"/>
      <c r="N18" s="30"/>
      <c r="O18" s="30"/>
      <c r="P18" s="30"/>
      <c r="Q18" s="30"/>
      <c r="R18" s="30"/>
      <c r="S18" s="30"/>
      <c r="T18" s="30"/>
      <c r="U18" s="30"/>
      <c r="V18" s="30">
        <f t="shared" si="0"/>
        <v>0</v>
      </c>
      <c r="W18" s="36">
        <f>V18/L4*20</f>
        <v>0</v>
      </c>
      <c r="X18" s="37">
        <f t="shared" si="1"/>
        <v>100</v>
      </c>
      <c r="Y18" s="44" t="s">
        <v>46</v>
      </c>
      <c r="Z18" s="7"/>
      <c r="AA18" s="7"/>
      <c r="AB18" s="8"/>
    </row>
    <row r="19" spans="1:28" x14ac:dyDescent="0.2">
      <c r="A19" s="27">
        <v>68</v>
      </c>
      <c r="B19" s="30"/>
      <c r="C19" s="30"/>
      <c r="D19" s="30"/>
      <c r="E19" s="30"/>
      <c r="F19" s="30"/>
      <c r="G19" s="30"/>
      <c r="H19" s="30"/>
      <c r="I19" s="30"/>
      <c r="J19" s="30"/>
      <c r="K19" s="30"/>
      <c r="L19" s="30"/>
      <c r="M19" s="30"/>
      <c r="N19" s="30"/>
      <c r="O19" s="30"/>
      <c r="P19" s="30"/>
      <c r="Q19" s="30"/>
      <c r="R19" s="30"/>
      <c r="S19" s="30"/>
      <c r="T19" s="30"/>
      <c r="U19" s="30"/>
      <c r="V19" s="30">
        <f t="shared" si="0"/>
        <v>0</v>
      </c>
      <c r="W19" s="36">
        <f>V19/L4*20</f>
        <v>0</v>
      </c>
      <c r="X19" s="37">
        <f t="shared" si="1"/>
        <v>100</v>
      </c>
      <c r="Y19" s="44" t="s">
        <v>47</v>
      </c>
      <c r="Z19" s="7"/>
      <c r="AA19" s="7"/>
      <c r="AB19" s="8"/>
    </row>
    <row r="20" spans="1:28" x14ac:dyDescent="0.2">
      <c r="A20" s="27">
        <v>69</v>
      </c>
      <c r="B20" s="30"/>
      <c r="C20" s="30"/>
      <c r="D20" s="30"/>
      <c r="E20" s="30"/>
      <c r="F20" s="30"/>
      <c r="G20" s="30"/>
      <c r="H20" s="30"/>
      <c r="I20" s="30"/>
      <c r="J20" s="30"/>
      <c r="K20" s="30"/>
      <c r="L20" s="30"/>
      <c r="M20" s="30"/>
      <c r="N20" s="30"/>
      <c r="O20" s="30"/>
      <c r="P20" s="30"/>
      <c r="Q20" s="30"/>
      <c r="R20" s="30"/>
      <c r="S20" s="30"/>
      <c r="T20" s="30"/>
      <c r="U20" s="30"/>
      <c r="V20" s="30">
        <f t="shared" si="0"/>
        <v>0</v>
      </c>
      <c r="W20" s="36">
        <f>V20/L4*20</f>
        <v>0</v>
      </c>
      <c r="X20" s="37">
        <f t="shared" si="1"/>
        <v>100</v>
      </c>
      <c r="Y20" s="40" t="s">
        <v>84</v>
      </c>
      <c r="Z20" s="40"/>
      <c r="AA20" s="7"/>
      <c r="AB20" s="8"/>
    </row>
    <row r="21" spans="1:28" x14ac:dyDescent="0.2">
      <c r="A21" s="27">
        <v>70</v>
      </c>
      <c r="B21" s="30"/>
      <c r="C21" s="30"/>
      <c r="D21" s="30"/>
      <c r="E21" s="30"/>
      <c r="F21" s="30"/>
      <c r="G21" s="30"/>
      <c r="H21" s="30"/>
      <c r="I21" s="30"/>
      <c r="J21" s="30"/>
      <c r="K21" s="30"/>
      <c r="L21" s="30"/>
      <c r="M21" s="30"/>
      <c r="N21" s="30"/>
      <c r="O21" s="30"/>
      <c r="P21" s="30"/>
      <c r="Q21" s="30"/>
      <c r="R21" s="30"/>
      <c r="S21" s="30"/>
      <c r="T21" s="30"/>
      <c r="U21" s="30"/>
      <c r="V21" s="30">
        <f t="shared" si="0"/>
        <v>0</v>
      </c>
      <c r="W21" s="36">
        <f>V21/L4*20</f>
        <v>0</v>
      </c>
      <c r="X21" s="37">
        <f t="shared" si="1"/>
        <v>100</v>
      </c>
      <c r="Y21" s="44" t="s">
        <v>48</v>
      </c>
      <c r="Z21" s="7"/>
      <c r="AA21" s="7"/>
      <c r="AB21" s="8"/>
    </row>
    <row r="22" spans="1:28" x14ac:dyDescent="0.2">
      <c r="A22" s="27"/>
      <c r="B22" s="30"/>
      <c r="C22" s="30"/>
      <c r="D22" s="30"/>
      <c r="E22" s="30"/>
      <c r="F22" s="30"/>
      <c r="G22" s="30"/>
      <c r="H22" s="30"/>
      <c r="I22" s="30"/>
      <c r="J22" s="30"/>
      <c r="K22" s="30"/>
      <c r="L22" s="30"/>
      <c r="M22" s="30"/>
      <c r="N22" s="30"/>
      <c r="O22" s="30"/>
      <c r="P22" s="30"/>
      <c r="Q22" s="30"/>
      <c r="R22" s="30"/>
      <c r="S22" s="30"/>
      <c r="T22" s="30"/>
      <c r="U22" s="30"/>
      <c r="V22" s="30"/>
      <c r="W22" s="36"/>
      <c r="X22" s="37"/>
      <c r="Y22" s="44"/>
      <c r="Z22" s="7"/>
      <c r="AA22" s="7"/>
      <c r="AB22" s="8"/>
    </row>
    <row r="23" spans="1:28" x14ac:dyDescent="0.2">
      <c r="A23" s="27"/>
      <c r="B23" s="30"/>
      <c r="C23" s="30"/>
      <c r="D23" s="30"/>
      <c r="E23" s="30"/>
      <c r="F23" s="30"/>
      <c r="G23" s="30"/>
      <c r="H23" s="30"/>
      <c r="I23" s="30"/>
      <c r="J23" s="30"/>
      <c r="K23" s="30"/>
      <c r="L23" s="30"/>
      <c r="M23" s="30"/>
      <c r="N23" s="30"/>
      <c r="O23" s="30"/>
      <c r="P23" s="30"/>
      <c r="Q23" s="30"/>
      <c r="R23" s="30"/>
      <c r="S23" s="30"/>
      <c r="T23" s="30"/>
      <c r="U23" s="30"/>
      <c r="V23" s="30"/>
      <c r="W23" s="36"/>
      <c r="X23" s="37"/>
      <c r="Y23" s="44"/>
      <c r="Z23" s="7"/>
      <c r="AA23" s="7"/>
      <c r="AB23" s="8"/>
    </row>
    <row r="24" spans="1:28" x14ac:dyDescent="0.2">
      <c r="A24" s="27"/>
      <c r="B24" s="30"/>
      <c r="C24" s="30"/>
      <c r="D24" s="30"/>
      <c r="E24" s="30"/>
      <c r="F24" s="30"/>
      <c r="G24" s="30"/>
      <c r="H24" s="30"/>
      <c r="I24" s="30"/>
      <c r="J24" s="30"/>
      <c r="K24" s="30"/>
      <c r="L24" s="30"/>
      <c r="M24" s="30"/>
      <c r="N24" s="30"/>
      <c r="O24" s="30"/>
      <c r="P24" s="30"/>
      <c r="Q24" s="30"/>
      <c r="R24" s="30"/>
      <c r="S24" s="30"/>
      <c r="T24" s="30"/>
      <c r="U24" s="30"/>
      <c r="V24" s="30"/>
      <c r="W24" s="36"/>
      <c r="X24" s="37"/>
      <c r="Y24" s="44"/>
      <c r="Z24" s="7"/>
      <c r="AA24" s="7"/>
      <c r="AB24" s="8"/>
    </row>
    <row r="25" spans="1:28" x14ac:dyDescent="0.2">
      <c r="A25" s="27"/>
      <c r="B25" s="30"/>
      <c r="C25" s="30"/>
      <c r="D25" s="30"/>
      <c r="E25" s="30"/>
      <c r="F25" s="30"/>
      <c r="G25" s="30"/>
      <c r="H25" s="30"/>
      <c r="I25" s="30"/>
      <c r="J25" s="30"/>
      <c r="K25" s="30"/>
      <c r="L25" s="30"/>
      <c r="M25" s="30"/>
      <c r="N25" s="30"/>
      <c r="O25" s="30"/>
      <c r="P25" s="30"/>
      <c r="Q25" s="30"/>
      <c r="R25" s="30"/>
      <c r="S25" s="30"/>
      <c r="T25" s="30"/>
      <c r="U25" s="30"/>
      <c r="V25" s="30"/>
      <c r="W25" s="36"/>
      <c r="X25" s="37"/>
      <c r="Y25" s="44"/>
      <c r="Z25" s="7"/>
      <c r="AA25" s="7"/>
      <c r="AB25" s="8"/>
    </row>
    <row r="26" spans="1:28" x14ac:dyDescent="0.2">
      <c r="A26" s="27"/>
      <c r="B26" s="30"/>
      <c r="C26" s="30"/>
      <c r="D26" s="30"/>
      <c r="E26" s="30"/>
      <c r="F26" s="30"/>
      <c r="G26" s="30"/>
      <c r="H26" s="30"/>
      <c r="I26" s="30"/>
      <c r="J26" s="30"/>
      <c r="K26" s="30"/>
      <c r="L26" s="30"/>
      <c r="M26" s="30"/>
      <c r="N26" s="30"/>
      <c r="O26" s="30"/>
      <c r="P26" s="30"/>
      <c r="Q26" s="30"/>
      <c r="R26" s="30"/>
      <c r="S26" s="30"/>
      <c r="T26" s="30"/>
      <c r="U26" s="30"/>
      <c r="V26" s="30"/>
      <c r="W26" s="36"/>
      <c r="X26" s="37"/>
      <c r="Y26" s="44"/>
      <c r="Z26" s="7"/>
      <c r="AA26" s="7"/>
      <c r="AB26" s="8"/>
    </row>
    <row r="27" spans="1:28" x14ac:dyDescent="0.2">
      <c r="A27" s="27"/>
      <c r="B27" s="30"/>
      <c r="C27" s="30"/>
      <c r="D27" s="30"/>
      <c r="E27" s="30"/>
      <c r="F27" s="30"/>
      <c r="G27" s="30"/>
      <c r="H27" s="30"/>
      <c r="I27" s="30"/>
      <c r="J27" s="30"/>
      <c r="K27" s="30"/>
      <c r="L27" s="30"/>
      <c r="M27" s="30"/>
      <c r="N27" s="30"/>
      <c r="O27" s="30"/>
      <c r="P27" s="30"/>
      <c r="Q27" s="30"/>
      <c r="R27" s="30"/>
      <c r="S27" s="30"/>
      <c r="T27" s="30"/>
      <c r="U27" s="30"/>
      <c r="V27" s="30"/>
      <c r="W27" s="38"/>
      <c r="X27" s="39"/>
      <c r="Y27" s="45"/>
      <c r="Z27" s="11"/>
      <c r="AA27" s="11"/>
      <c r="AB27" s="12"/>
    </row>
    <row r="28" spans="1:28" x14ac:dyDescent="0.2">
      <c r="A28" s="27" t="s">
        <v>127</v>
      </c>
      <c r="B28" s="30">
        <f t="shared" ref="B28:U28" si="2">SUM(B12:B27)</f>
        <v>0</v>
      </c>
      <c r="C28" s="30">
        <f t="shared" si="2"/>
        <v>0</v>
      </c>
      <c r="D28" s="30">
        <f t="shared" si="2"/>
        <v>0</v>
      </c>
      <c r="E28" s="30">
        <f t="shared" si="2"/>
        <v>0</v>
      </c>
      <c r="F28" s="30">
        <f t="shared" si="2"/>
        <v>0</v>
      </c>
      <c r="G28" s="30">
        <f t="shared" si="2"/>
        <v>0</v>
      </c>
      <c r="H28" s="30">
        <f t="shared" si="2"/>
        <v>0</v>
      </c>
      <c r="I28" s="30">
        <f t="shared" si="2"/>
        <v>0</v>
      </c>
      <c r="J28" s="30">
        <f t="shared" si="2"/>
        <v>0</v>
      </c>
      <c r="K28" s="30">
        <f t="shared" si="2"/>
        <v>0</v>
      </c>
      <c r="L28" s="30">
        <f t="shared" si="2"/>
        <v>0</v>
      </c>
      <c r="M28" s="30">
        <f t="shared" si="2"/>
        <v>0</v>
      </c>
      <c r="N28" s="30">
        <f t="shared" si="2"/>
        <v>0</v>
      </c>
      <c r="O28" s="30">
        <f t="shared" si="2"/>
        <v>0</v>
      </c>
      <c r="P28" s="30">
        <f t="shared" si="2"/>
        <v>0</v>
      </c>
      <c r="Q28" s="30">
        <f t="shared" si="2"/>
        <v>0</v>
      </c>
      <c r="R28" s="30">
        <f t="shared" si="2"/>
        <v>0</v>
      </c>
      <c r="S28" s="30">
        <f t="shared" si="2"/>
        <v>0</v>
      </c>
      <c r="T28" s="30">
        <f t="shared" si="2"/>
        <v>0</v>
      </c>
      <c r="U28" s="30">
        <f t="shared" si="2"/>
        <v>0</v>
      </c>
      <c r="V28" s="30">
        <f t="shared" si="0"/>
        <v>0</v>
      </c>
      <c r="W28" s="28"/>
      <c r="X28" s="7"/>
    </row>
    <row r="29" spans="1:28" x14ac:dyDescent="0.2">
      <c r="A29" s="27" t="s">
        <v>128</v>
      </c>
      <c r="B29" s="31">
        <f t="shared" ref="B29:U29" si="3">B28*B28</f>
        <v>0</v>
      </c>
      <c r="C29" s="31">
        <f t="shared" si="3"/>
        <v>0</v>
      </c>
      <c r="D29" s="31">
        <f t="shared" si="3"/>
        <v>0</v>
      </c>
      <c r="E29" s="31">
        <f t="shared" si="3"/>
        <v>0</v>
      </c>
      <c r="F29" s="31">
        <f t="shared" si="3"/>
        <v>0</v>
      </c>
      <c r="G29" s="31">
        <f t="shared" si="3"/>
        <v>0</v>
      </c>
      <c r="H29" s="31">
        <f t="shared" si="3"/>
        <v>0</v>
      </c>
      <c r="I29" s="31">
        <f t="shared" si="3"/>
        <v>0</v>
      </c>
      <c r="J29" s="31">
        <f t="shared" si="3"/>
        <v>0</v>
      </c>
      <c r="K29" s="31">
        <f t="shared" si="3"/>
        <v>0</v>
      </c>
      <c r="L29" s="31">
        <f t="shared" si="3"/>
        <v>0</v>
      </c>
      <c r="M29" s="31">
        <f t="shared" si="3"/>
        <v>0</v>
      </c>
      <c r="N29" s="31">
        <f t="shared" si="3"/>
        <v>0</v>
      </c>
      <c r="O29" s="31">
        <f t="shared" si="3"/>
        <v>0</v>
      </c>
      <c r="P29" s="31">
        <f t="shared" si="3"/>
        <v>0</v>
      </c>
      <c r="Q29" s="31">
        <f t="shared" si="3"/>
        <v>0</v>
      </c>
      <c r="R29" s="31">
        <f t="shared" si="3"/>
        <v>0</v>
      </c>
      <c r="S29" s="31">
        <f t="shared" si="3"/>
        <v>0</v>
      </c>
      <c r="T29" s="31">
        <f t="shared" si="3"/>
        <v>0</v>
      </c>
      <c r="U29" s="31">
        <f t="shared" si="3"/>
        <v>0</v>
      </c>
      <c r="V29" s="31">
        <f t="shared" si="0"/>
        <v>0</v>
      </c>
      <c r="W29" t="s">
        <v>12</v>
      </c>
      <c r="X29" s="2"/>
    </row>
    <row r="38" spans="1:28" x14ac:dyDescent="0.2">
      <c r="A38" s="2" t="s">
        <v>23</v>
      </c>
    </row>
    <row r="39" spans="1:28" x14ac:dyDescent="0.2">
      <c r="A39" s="27" t="s">
        <v>111</v>
      </c>
      <c r="B39" s="30" t="s">
        <v>112</v>
      </c>
      <c r="C39" s="30" t="s">
        <v>113</v>
      </c>
      <c r="D39" s="30" t="s">
        <v>114</v>
      </c>
      <c r="E39" s="30" t="s">
        <v>115</v>
      </c>
      <c r="F39" s="30" t="s">
        <v>116</v>
      </c>
      <c r="G39" s="30" t="s">
        <v>117</v>
      </c>
      <c r="H39" s="30" t="s">
        <v>118</v>
      </c>
      <c r="I39" s="30" t="s">
        <v>119</v>
      </c>
      <c r="J39" s="30" t="s">
        <v>120</v>
      </c>
      <c r="K39" s="30" t="s">
        <v>121</v>
      </c>
      <c r="L39" s="30" t="s">
        <v>122</v>
      </c>
      <c r="M39" s="30" t="s">
        <v>123</v>
      </c>
      <c r="N39" s="30" t="s">
        <v>124</v>
      </c>
      <c r="O39" s="30" t="s">
        <v>125</v>
      </c>
      <c r="P39" s="30" t="s">
        <v>126</v>
      </c>
      <c r="Q39" s="30" t="s">
        <v>15</v>
      </c>
      <c r="R39" s="30" t="s">
        <v>17</v>
      </c>
      <c r="S39" s="30" t="s">
        <v>18</v>
      </c>
      <c r="T39" s="30" t="s">
        <v>19</v>
      </c>
      <c r="U39" s="30" t="s">
        <v>20</v>
      </c>
      <c r="V39" t="s">
        <v>24</v>
      </c>
      <c r="W39" t="s">
        <v>13</v>
      </c>
      <c r="X39" t="s">
        <v>14</v>
      </c>
      <c r="Y39" t="s">
        <v>124</v>
      </c>
      <c r="Z39" t="s">
        <v>15</v>
      </c>
      <c r="AA39" t="s">
        <v>21</v>
      </c>
      <c r="AB39" t="s">
        <v>7</v>
      </c>
    </row>
    <row r="40" spans="1:28" x14ac:dyDescent="0.2">
      <c r="A40" s="27">
        <f>A12</f>
        <v>61</v>
      </c>
      <c r="B40" s="30">
        <f t="shared" ref="B40:U40" si="4">B12*B12</f>
        <v>0</v>
      </c>
      <c r="C40" s="30">
        <f t="shared" si="4"/>
        <v>0</v>
      </c>
      <c r="D40" s="30">
        <f t="shared" si="4"/>
        <v>0</v>
      </c>
      <c r="E40" s="30">
        <f t="shared" si="4"/>
        <v>0</v>
      </c>
      <c r="F40" s="30">
        <f t="shared" si="4"/>
        <v>0</v>
      </c>
      <c r="G40" s="30">
        <f t="shared" si="4"/>
        <v>0</v>
      </c>
      <c r="H40" s="30">
        <f t="shared" si="4"/>
        <v>0</v>
      </c>
      <c r="I40" s="30">
        <f t="shared" si="4"/>
        <v>0</v>
      </c>
      <c r="J40" s="30">
        <f t="shared" si="4"/>
        <v>0</v>
      </c>
      <c r="K40" s="30">
        <f t="shared" si="4"/>
        <v>0</v>
      </c>
      <c r="L40" s="30">
        <f t="shared" si="4"/>
        <v>0</v>
      </c>
      <c r="M40" s="30">
        <f t="shared" si="4"/>
        <v>0</v>
      </c>
      <c r="N40" s="30">
        <f t="shared" si="4"/>
        <v>0</v>
      </c>
      <c r="O40" s="30">
        <f t="shared" si="4"/>
        <v>0</v>
      </c>
      <c r="P40" s="30">
        <f t="shared" si="4"/>
        <v>0</v>
      </c>
      <c r="Q40" s="30">
        <f t="shared" si="4"/>
        <v>0</v>
      </c>
      <c r="R40" s="30">
        <f t="shared" si="4"/>
        <v>0</v>
      </c>
      <c r="S40" s="30">
        <f t="shared" si="4"/>
        <v>0</v>
      </c>
      <c r="T40" s="30">
        <f t="shared" si="4"/>
        <v>0</v>
      </c>
      <c r="U40" s="30">
        <f t="shared" si="4"/>
        <v>0</v>
      </c>
      <c r="V40">
        <f t="shared" ref="V40:V49" si="5">SUM(B40:U40)</f>
        <v>0</v>
      </c>
      <c r="W40">
        <f t="shared" ref="W40:W49" si="6">V12*V12</f>
        <v>0</v>
      </c>
      <c r="X40">
        <f>L4*(L4-1)</f>
        <v>380</v>
      </c>
      <c r="Y40">
        <f>L4*V40-W40</f>
        <v>0</v>
      </c>
      <c r="Z40">
        <f t="shared" ref="Z40:Z49" si="7">Y40/X40</f>
        <v>0</v>
      </c>
      <c r="AA40">
        <f t="shared" ref="AA40:AA49" si="8">SQRT(Z40)</f>
        <v>0</v>
      </c>
      <c r="AB40">
        <f t="shared" ref="AB40:AB49" si="9">AA40/4*100</f>
        <v>0</v>
      </c>
    </row>
    <row r="41" spans="1:28" x14ac:dyDescent="0.2">
      <c r="A41" s="27">
        <f t="shared" ref="A41:A49" si="10">A13</f>
        <v>62</v>
      </c>
      <c r="B41" s="30">
        <f t="shared" ref="B41:U41" si="11">B13*B13</f>
        <v>0</v>
      </c>
      <c r="C41" s="30">
        <f t="shared" si="11"/>
        <v>0</v>
      </c>
      <c r="D41" s="30">
        <f t="shared" si="11"/>
        <v>0</v>
      </c>
      <c r="E41" s="30">
        <f t="shared" si="11"/>
        <v>0</v>
      </c>
      <c r="F41" s="30">
        <f t="shared" si="11"/>
        <v>0</v>
      </c>
      <c r="G41" s="30">
        <f t="shared" si="11"/>
        <v>0</v>
      </c>
      <c r="H41" s="30">
        <f t="shared" si="11"/>
        <v>0</v>
      </c>
      <c r="I41" s="30">
        <f t="shared" si="11"/>
        <v>0</v>
      </c>
      <c r="J41" s="30">
        <f t="shared" si="11"/>
        <v>0</v>
      </c>
      <c r="K41" s="30">
        <f t="shared" si="11"/>
        <v>0</v>
      </c>
      <c r="L41" s="30">
        <f t="shared" si="11"/>
        <v>0</v>
      </c>
      <c r="M41" s="30">
        <f t="shared" si="11"/>
        <v>0</v>
      </c>
      <c r="N41" s="30">
        <f t="shared" si="11"/>
        <v>0</v>
      </c>
      <c r="O41" s="30">
        <f t="shared" si="11"/>
        <v>0</v>
      </c>
      <c r="P41" s="30">
        <f t="shared" si="11"/>
        <v>0</v>
      </c>
      <c r="Q41" s="30">
        <f t="shared" si="11"/>
        <v>0</v>
      </c>
      <c r="R41" s="30">
        <f t="shared" si="11"/>
        <v>0</v>
      </c>
      <c r="S41" s="30">
        <f t="shared" si="11"/>
        <v>0</v>
      </c>
      <c r="T41" s="30">
        <f t="shared" si="11"/>
        <v>0</v>
      </c>
      <c r="U41" s="30">
        <f t="shared" si="11"/>
        <v>0</v>
      </c>
      <c r="V41">
        <f t="shared" si="5"/>
        <v>0</v>
      </c>
      <c r="W41">
        <f t="shared" si="6"/>
        <v>0</v>
      </c>
      <c r="X41">
        <f>L4*(L4-1)</f>
        <v>380</v>
      </c>
      <c r="Y41">
        <f>L4*V41-W41</f>
        <v>0</v>
      </c>
      <c r="Z41">
        <f t="shared" si="7"/>
        <v>0</v>
      </c>
      <c r="AA41">
        <f t="shared" si="8"/>
        <v>0</v>
      </c>
      <c r="AB41">
        <f t="shared" si="9"/>
        <v>0</v>
      </c>
    </row>
    <row r="42" spans="1:28" x14ac:dyDescent="0.2">
      <c r="A42" s="27">
        <f t="shared" si="10"/>
        <v>63</v>
      </c>
      <c r="B42" s="30">
        <f t="shared" ref="B42:U42" si="12">B14*B14</f>
        <v>0</v>
      </c>
      <c r="C42" s="30">
        <f t="shared" si="12"/>
        <v>0</v>
      </c>
      <c r="D42" s="30">
        <f t="shared" si="12"/>
        <v>0</v>
      </c>
      <c r="E42" s="30">
        <f t="shared" si="12"/>
        <v>0</v>
      </c>
      <c r="F42" s="30">
        <f t="shared" si="12"/>
        <v>0</v>
      </c>
      <c r="G42" s="30">
        <f t="shared" si="12"/>
        <v>0</v>
      </c>
      <c r="H42" s="30">
        <f t="shared" si="12"/>
        <v>0</v>
      </c>
      <c r="I42" s="30">
        <f t="shared" si="12"/>
        <v>0</v>
      </c>
      <c r="J42" s="30">
        <f t="shared" si="12"/>
        <v>0</v>
      </c>
      <c r="K42" s="30">
        <f t="shared" si="12"/>
        <v>0</v>
      </c>
      <c r="L42" s="30">
        <f t="shared" si="12"/>
        <v>0</v>
      </c>
      <c r="M42" s="30">
        <f t="shared" si="12"/>
        <v>0</v>
      </c>
      <c r="N42" s="30">
        <f t="shared" si="12"/>
        <v>0</v>
      </c>
      <c r="O42" s="30">
        <f t="shared" si="12"/>
        <v>0</v>
      </c>
      <c r="P42" s="30">
        <f t="shared" si="12"/>
        <v>0</v>
      </c>
      <c r="Q42" s="30">
        <f t="shared" si="12"/>
        <v>0</v>
      </c>
      <c r="R42" s="30">
        <f t="shared" si="12"/>
        <v>0</v>
      </c>
      <c r="S42" s="30">
        <f t="shared" si="12"/>
        <v>0</v>
      </c>
      <c r="T42" s="30">
        <f t="shared" si="12"/>
        <v>0</v>
      </c>
      <c r="U42" s="30">
        <f t="shared" si="12"/>
        <v>0</v>
      </c>
      <c r="V42">
        <f t="shared" si="5"/>
        <v>0</v>
      </c>
      <c r="W42">
        <f t="shared" si="6"/>
        <v>0</v>
      </c>
      <c r="X42">
        <f>L4*(L4-1)</f>
        <v>380</v>
      </c>
      <c r="Y42">
        <f>L4*V42-W42</f>
        <v>0</v>
      </c>
      <c r="Z42">
        <f t="shared" si="7"/>
        <v>0</v>
      </c>
      <c r="AA42">
        <f t="shared" si="8"/>
        <v>0</v>
      </c>
      <c r="AB42">
        <f t="shared" si="9"/>
        <v>0</v>
      </c>
    </row>
    <row r="43" spans="1:28" x14ac:dyDescent="0.2">
      <c r="A43" s="27">
        <f t="shared" si="10"/>
        <v>64</v>
      </c>
      <c r="B43" s="30">
        <f t="shared" ref="B43:U43" si="13">B15*B15</f>
        <v>0</v>
      </c>
      <c r="C43" s="30">
        <f t="shared" si="13"/>
        <v>0</v>
      </c>
      <c r="D43" s="30">
        <f t="shared" si="13"/>
        <v>0</v>
      </c>
      <c r="E43" s="30">
        <f t="shared" si="13"/>
        <v>0</v>
      </c>
      <c r="F43" s="30">
        <f t="shared" si="13"/>
        <v>0</v>
      </c>
      <c r="G43" s="30">
        <f t="shared" si="13"/>
        <v>0</v>
      </c>
      <c r="H43" s="30">
        <f t="shared" si="13"/>
        <v>0</v>
      </c>
      <c r="I43" s="30">
        <f t="shared" si="13"/>
        <v>0</v>
      </c>
      <c r="J43" s="30">
        <f t="shared" si="13"/>
        <v>0</v>
      </c>
      <c r="K43" s="30">
        <f t="shared" si="13"/>
        <v>0</v>
      </c>
      <c r="L43" s="30">
        <f t="shared" si="13"/>
        <v>0</v>
      </c>
      <c r="M43" s="30">
        <f t="shared" si="13"/>
        <v>0</v>
      </c>
      <c r="N43" s="30">
        <f t="shared" si="13"/>
        <v>0</v>
      </c>
      <c r="O43" s="30">
        <f t="shared" si="13"/>
        <v>0</v>
      </c>
      <c r="P43" s="30">
        <f t="shared" si="13"/>
        <v>0</v>
      </c>
      <c r="Q43" s="30">
        <f t="shared" si="13"/>
        <v>0</v>
      </c>
      <c r="R43" s="30">
        <f t="shared" si="13"/>
        <v>0</v>
      </c>
      <c r="S43" s="30">
        <f t="shared" si="13"/>
        <v>0</v>
      </c>
      <c r="T43" s="30">
        <f t="shared" si="13"/>
        <v>0</v>
      </c>
      <c r="U43" s="30">
        <f t="shared" si="13"/>
        <v>0</v>
      </c>
      <c r="V43">
        <f t="shared" si="5"/>
        <v>0</v>
      </c>
      <c r="W43">
        <f t="shared" si="6"/>
        <v>0</v>
      </c>
      <c r="X43">
        <f>L4*(L4-1)</f>
        <v>380</v>
      </c>
      <c r="Y43">
        <f>L4*V43-W43</f>
        <v>0</v>
      </c>
      <c r="Z43">
        <f t="shared" si="7"/>
        <v>0</v>
      </c>
      <c r="AA43">
        <f t="shared" si="8"/>
        <v>0</v>
      </c>
      <c r="AB43">
        <f t="shared" si="9"/>
        <v>0</v>
      </c>
    </row>
    <row r="44" spans="1:28" x14ac:dyDescent="0.2">
      <c r="A44" s="27">
        <f t="shared" si="10"/>
        <v>65</v>
      </c>
      <c r="B44" s="30">
        <f t="shared" ref="B44:U44" si="14">B16*B16</f>
        <v>0</v>
      </c>
      <c r="C44" s="30">
        <f t="shared" si="14"/>
        <v>0</v>
      </c>
      <c r="D44" s="30">
        <f t="shared" si="14"/>
        <v>0</v>
      </c>
      <c r="E44" s="30">
        <f t="shared" si="14"/>
        <v>0</v>
      </c>
      <c r="F44" s="30">
        <f t="shared" si="14"/>
        <v>0</v>
      </c>
      <c r="G44" s="30">
        <f t="shared" si="14"/>
        <v>0</v>
      </c>
      <c r="H44" s="30">
        <f t="shared" si="14"/>
        <v>0</v>
      </c>
      <c r="I44" s="30">
        <f t="shared" si="14"/>
        <v>0</v>
      </c>
      <c r="J44" s="30">
        <f t="shared" si="14"/>
        <v>0</v>
      </c>
      <c r="K44" s="30">
        <f t="shared" si="14"/>
        <v>0</v>
      </c>
      <c r="L44" s="30">
        <f t="shared" si="14"/>
        <v>0</v>
      </c>
      <c r="M44" s="30">
        <f t="shared" si="14"/>
        <v>0</v>
      </c>
      <c r="N44" s="30">
        <f t="shared" si="14"/>
        <v>0</v>
      </c>
      <c r="O44" s="30">
        <f t="shared" si="14"/>
        <v>0</v>
      </c>
      <c r="P44" s="30">
        <f t="shared" si="14"/>
        <v>0</v>
      </c>
      <c r="Q44" s="30">
        <f t="shared" si="14"/>
        <v>0</v>
      </c>
      <c r="R44" s="30">
        <f t="shared" si="14"/>
        <v>0</v>
      </c>
      <c r="S44" s="30">
        <f t="shared" si="14"/>
        <v>0</v>
      </c>
      <c r="T44" s="30">
        <f t="shared" si="14"/>
        <v>0</v>
      </c>
      <c r="U44" s="30">
        <f t="shared" si="14"/>
        <v>0</v>
      </c>
      <c r="V44">
        <f t="shared" si="5"/>
        <v>0</v>
      </c>
      <c r="W44">
        <f t="shared" si="6"/>
        <v>0</v>
      </c>
      <c r="X44">
        <f>L4*(L4-1)</f>
        <v>380</v>
      </c>
      <c r="Y44">
        <f>L4*V44-W44</f>
        <v>0</v>
      </c>
      <c r="Z44">
        <f t="shared" si="7"/>
        <v>0</v>
      </c>
      <c r="AA44">
        <f t="shared" si="8"/>
        <v>0</v>
      </c>
      <c r="AB44">
        <f t="shared" si="9"/>
        <v>0</v>
      </c>
    </row>
    <row r="45" spans="1:28" x14ac:dyDescent="0.2">
      <c r="A45" s="27">
        <f t="shared" si="10"/>
        <v>66</v>
      </c>
      <c r="B45" s="30">
        <f t="shared" ref="B45:U45" si="15">B17*B17</f>
        <v>0</v>
      </c>
      <c r="C45" s="30">
        <f t="shared" si="15"/>
        <v>0</v>
      </c>
      <c r="D45" s="30">
        <f t="shared" si="15"/>
        <v>0</v>
      </c>
      <c r="E45" s="30">
        <f t="shared" si="15"/>
        <v>0</v>
      </c>
      <c r="F45" s="30">
        <f t="shared" si="15"/>
        <v>0</v>
      </c>
      <c r="G45" s="30">
        <f t="shared" si="15"/>
        <v>0</v>
      </c>
      <c r="H45" s="30">
        <f t="shared" si="15"/>
        <v>0</v>
      </c>
      <c r="I45" s="30">
        <f t="shared" si="15"/>
        <v>0</v>
      </c>
      <c r="J45" s="30">
        <f t="shared" si="15"/>
        <v>0</v>
      </c>
      <c r="K45" s="30">
        <f t="shared" si="15"/>
        <v>0</v>
      </c>
      <c r="L45" s="30">
        <f t="shared" si="15"/>
        <v>0</v>
      </c>
      <c r="M45" s="30">
        <f t="shared" si="15"/>
        <v>0</v>
      </c>
      <c r="N45" s="30">
        <f t="shared" si="15"/>
        <v>0</v>
      </c>
      <c r="O45" s="30">
        <f t="shared" si="15"/>
        <v>0</v>
      </c>
      <c r="P45" s="30">
        <f t="shared" si="15"/>
        <v>0</v>
      </c>
      <c r="Q45" s="30">
        <f t="shared" si="15"/>
        <v>0</v>
      </c>
      <c r="R45" s="30">
        <f t="shared" si="15"/>
        <v>0</v>
      </c>
      <c r="S45" s="30">
        <f t="shared" si="15"/>
        <v>0</v>
      </c>
      <c r="T45" s="30">
        <f t="shared" si="15"/>
        <v>0</v>
      </c>
      <c r="U45" s="30">
        <f t="shared" si="15"/>
        <v>0</v>
      </c>
      <c r="V45">
        <f t="shared" si="5"/>
        <v>0</v>
      </c>
      <c r="W45">
        <f t="shared" si="6"/>
        <v>0</v>
      </c>
      <c r="X45">
        <f>L4*(L4-1)</f>
        <v>380</v>
      </c>
      <c r="Y45">
        <f>L4*V45-W45</f>
        <v>0</v>
      </c>
      <c r="Z45">
        <f t="shared" si="7"/>
        <v>0</v>
      </c>
      <c r="AA45">
        <f t="shared" si="8"/>
        <v>0</v>
      </c>
      <c r="AB45">
        <f t="shared" si="9"/>
        <v>0</v>
      </c>
    </row>
    <row r="46" spans="1:28" x14ac:dyDescent="0.2">
      <c r="A46" s="27">
        <f t="shared" si="10"/>
        <v>67</v>
      </c>
      <c r="B46" s="30">
        <f t="shared" ref="B46:U46" si="16">B18*B18</f>
        <v>0</v>
      </c>
      <c r="C46" s="30">
        <f t="shared" si="16"/>
        <v>0</v>
      </c>
      <c r="D46" s="30">
        <f t="shared" si="16"/>
        <v>0</v>
      </c>
      <c r="E46" s="30">
        <f t="shared" si="16"/>
        <v>0</v>
      </c>
      <c r="F46" s="30">
        <f t="shared" si="16"/>
        <v>0</v>
      </c>
      <c r="G46" s="30">
        <f t="shared" si="16"/>
        <v>0</v>
      </c>
      <c r="H46" s="30">
        <f t="shared" si="16"/>
        <v>0</v>
      </c>
      <c r="I46" s="30">
        <f t="shared" si="16"/>
        <v>0</v>
      </c>
      <c r="J46" s="30">
        <f t="shared" si="16"/>
        <v>0</v>
      </c>
      <c r="K46" s="30">
        <f t="shared" si="16"/>
        <v>0</v>
      </c>
      <c r="L46" s="30">
        <f t="shared" si="16"/>
        <v>0</v>
      </c>
      <c r="M46" s="30">
        <f t="shared" si="16"/>
        <v>0</v>
      </c>
      <c r="N46" s="30">
        <f t="shared" si="16"/>
        <v>0</v>
      </c>
      <c r="O46" s="30">
        <f t="shared" si="16"/>
        <v>0</v>
      </c>
      <c r="P46" s="30">
        <f t="shared" si="16"/>
        <v>0</v>
      </c>
      <c r="Q46" s="30">
        <f t="shared" si="16"/>
        <v>0</v>
      </c>
      <c r="R46" s="30">
        <f t="shared" si="16"/>
        <v>0</v>
      </c>
      <c r="S46" s="30">
        <f t="shared" si="16"/>
        <v>0</v>
      </c>
      <c r="T46" s="30">
        <f t="shared" si="16"/>
        <v>0</v>
      </c>
      <c r="U46" s="30">
        <f t="shared" si="16"/>
        <v>0</v>
      </c>
      <c r="V46">
        <f t="shared" si="5"/>
        <v>0</v>
      </c>
      <c r="W46">
        <f t="shared" si="6"/>
        <v>0</v>
      </c>
      <c r="X46">
        <f>L4*(L4-1)</f>
        <v>380</v>
      </c>
      <c r="Y46">
        <f>L4*V46-W46</f>
        <v>0</v>
      </c>
      <c r="Z46">
        <f t="shared" si="7"/>
        <v>0</v>
      </c>
      <c r="AA46">
        <f t="shared" si="8"/>
        <v>0</v>
      </c>
      <c r="AB46">
        <f t="shared" si="9"/>
        <v>0</v>
      </c>
    </row>
    <row r="47" spans="1:28" x14ac:dyDescent="0.2">
      <c r="A47" s="27">
        <f t="shared" si="10"/>
        <v>68</v>
      </c>
      <c r="B47" s="30">
        <f t="shared" ref="B47:U47" si="17">B19*B19</f>
        <v>0</v>
      </c>
      <c r="C47" s="30">
        <f t="shared" si="17"/>
        <v>0</v>
      </c>
      <c r="D47" s="30">
        <f t="shared" si="17"/>
        <v>0</v>
      </c>
      <c r="E47" s="30">
        <f t="shared" si="17"/>
        <v>0</v>
      </c>
      <c r="F47" s="30">
        <f t="shared" si="17"/>
        <v>0</v>
      </c>
      <c r="G47" s="30">
        <f t="shared" si="17"/>
        <v>0</v>
      </c>
      <c r="H47" s="30">
        <f t="shared" si="17"/>
        <v>0</v>
      </c>
      <c r="I47" s="30">
        <f t="shared" si="17"/>
        <v>0</v>
      </c>
      <c r="J47" s="30">
        <f t="shared" si="17"/>
        <v>0</v>
      </c>
      <c r="K47" s="30">
        <f t="shared" si="17"/>
        <v>0</v>
      </c>
      <c r="L47" s="30">
        <f t="shared" si="17"/>
        <v>0</v>
      </c>
      <c r="M47" s="30">
        <f t="shared" si="17"/>
        <v>0</v>
      </c>
      <c r="N47" s="30">
        <f t="shared" si="17"/>
        <v>0</v>
      </c>
      <c r="O47" s="30">
        <f t="shared" si="17"/>
        <v>0</v>
      </c>
      <c r="P47" s="30">
        <f t="shared" si="17"/>
        <v>0</v>
      </c>
      <c r="Q47" s="30">
        <f t="shared" si="17"/>
        <v>0</v>
      </c>
      <c r="R47" s="30">
        <f t="shared" si="17"/>
        <v>0</v>
      </c>
      <c r="S47" s="30">
        <f t="shared" si="17"/>
        <v>0</v>
      </c>
      <c r="T47" s="30">
        <f t="shared" si="17"/>
        <v>0</v>
      </c>
      <c r="U47" s="30">
        <f t="shared" si="17"/>
        <v>0</v>
      </c>
      <c r="V47">
        <f t="shared" si="5"/>
        <v>0</v>
      </c>
      <c r="W47">
        <f t="shared" si="6"/>
        <v>0</v>
      </c>
      <c r="X47">
        <f>L4*(L4-1)</f>
        <v>380</v>
      </c>
      <c r="Y47">
        <f>L4*V47-W47</f>
        <v>0</v>
      </c>
      <c r="Z47">
        <f t="shared" si="7"/>
        <v>0</v>
      </c>
      <c r="AA47">
        <f t="shared" si="8"/>
        <v>0</v>
      </c>
      <c r="AB47">
        <f t="shared" si="9"/>
        <v>0</v>
      </c>
    </row>
    <row r="48" spans="1:28" x14ac:dyDescent="0.2">
      <c r="A48" s="27">
        <f t="shared" si="10"/>
        <v>69</v>
      </c>
      <c r="B48" s="30">
        <f t="shared" ref="B48:U48" si="18">B20*B20</f>
        <v>0</v>
      </c>
      <c r="C48" s="30">
        <f t="shared" si="18"/>
        <v>0</v>
      </c>
      <c r="D48" s="30">
        <f t="shared" si="18"/>
        <v>0</v>
      </c>
      <c r="E48" s="30">
        <f t="shared" si="18"/>
        <v>0</v>
      </c>
      <c r="F48" s="30">
        <f t="shared" si="18"/>
        <v>0</v>
      </c>
      <c r="G48" s="30">
        <f t="shared" si="18"/>
        <v>0</v>
      </c>
      <c r="H48" s="30">
        <f t="shared" si="18"/>
        <v>0</v>
      </c>
      <c r="I48" s="30">
        <f t="shared" si="18"/>
        <v>0</v>
      </c>
      <c r="J48" s="30">
        <f t="shared" si="18"/>
        <v>0</v>
      </c>
      <c r="K48" s="30">
        <f t="shared" si="18"/>
        <v>0</v>
      </c>
      <c r="L48" s="30">
        <f t="shared" si="18"/>
        <v>0</v>
      </c>
      <c r="M48" s="30">
        <f t="shared" si="18"/>
        <v>0</v>
      </c>
      <c r="N48" s="30">
        <f t="shared" si="18"/>
        <v>0</v>
      </c>
      <c r="O48" s="30">
        <f t="shared" si="18"/>
        <v>0</v>
      </c>
      <c r="P48" s="30">
        <f t="shared" si="18"/>
        <v>0</v>
      </c>
      <c r="Q48" s="30">
        <f t="shared" si="18"/>
        <v>0</v>
      </c>
      <c r="R48" s="30">
        <f t="shared" si="18"/>
        <v>0</v>
      </c>
      <c r="S48" s="30">
        <f t="shared" si="18"/>
        <v>0</v>
      </c>
      <c r="T48" s="30">
        <f t="shared" si="18"/>
        <v>0</v>
      </c>
      <c r="U48" s="30">
        <f t="shared" si="18"/>
        <v>0</v>
      </c>
      <c r="V48">
        <f t="shared" si="5"/>
        <v>0</v>
      </c>
      <c r="W48">
        <f t="shared" si="6"/>
        <v>0</v>
      </c>
      <c r="X48">
        <f>L4*(L4-1)</f>
        <v>380</v>
      </c>
      <c r="Y48">
        <f>L4*V48-W48</f>
        <v>0</v>
      </c>
      <c r="Z48">
        <f t="shared" si="7"/>
        <v>0</v>
      </c>
      <c r="AA48">
        <f t="shared" si="8"/>
        <v>0</v>
      </c>
      <c r="AB48">
        <f t="shared" si="9"/>
        <v>0</v>
      </c>
    </row>
    <row r="49" spans="1:28" x14ac:dyDescent="0.2">
      <c r="A49" s="27">
        <f t="shared" si="10"/>
        <v>70</v>
      </c>
      <c r="B49" s="30">
        <f t="shared" ref="B49:U49" si="19">B21*B21</f>
        <v>0</v>
      </c>
      <c r="C49" s="30">
        <f t="shared" si="19"/>
        <v>0</v>
      </c>
      <c r="D49" s="30">
        <f t="shared" si="19"/>
        <v>0</v>
      </c>
      <c r="E49" s="30">
        <f t="shared" si="19"/>
        <v>0</v>
      </c>
      <c r="F49" s="30">
        <f t="shared" si="19"/>
        <v>0</v>
      </c>
      <c r="G49" s="30">
        <f t="shared" si="19"/>
        <v>0</v>
      </c>
      <c r="H49" s="30">
        <f t="shared" si="19"/>
        <v>0</v>
      </c>
      <c r="I49" s="30">
        <f t="shared" si="19"/>
        <v>0</v>
      </c>
      <c r="J49" s="30">
        <f t="shared" si="19"/>
        <v>0</v>
      </c>
      <c r="K49" s="30">
        <f t="shared" si="19"/>
        <v>0</v>
      </c>
      <c r="L49" s="30">
        <f t="shared" si="19"/>
        <v>0</v>
      </c>
      <c r="M49" s="30">
        <f t="shared" si="19"/>
        <v>0</v>
      </c>
      <c r="N49" s="30">
        <f t="shared" si="19"/>
        <v>0</v>
      </c>
      <c r="O49" s="30">
        <f t="shared" si="19"/>
        <v>0</v>
      </c>
      <c r="P49" s="30">
        <f t="shared" si="19"/>
        <v>0</v>
      </c>
      <c r="Q49" s="30">
        <f t="shared" si="19"/>
        <v>0</v>
      </c>
      <c r="R49" s="30">
        <f t="shared" si="19"/>
        <v>0</v>
      </c>
      <c r="S49" s="30">
        <f t="shared" si="19"/>
        <v>0</v>
      </c>
      <c r="T49" s="30">
        <f t="shared" si="19"/>
        <v>0</v>
      </c>
      <c r="U49" s="30">
        <f t="shared" si="19"/>
        <v>0</v>
      </c>
      <c r="V49">
        <f t="shared" si="5"/>
        <v>0</v>
      </c>
      <c r="W49">
        <f t="shared" si="6"/>
        <v>0</v>
      </c>
      <c r="X49">
        <f>L4*(L4-1)</f>
        <v>380</v>
      </c>
      <c r="Y49">
        <f>L4*V49-W49</f>
        <v>0</v>
      </c>
      <c r="Z49">
        <f t="shared" si="7"/>
        <v>0</v>
      </c>
      <c r="AA49">
        <f t="shared" si="8"/>
        <v>0</v>
      </c>
      <c r="AB49">
        <f t="shared" si="9"/>
        <v>0</v>
      </c>
    </row>
    <row r="50" spans="1:28" x14ac:dyDescent="0.2">
      <c r="A50" s="27"/>
      <c r="B50" s="30"/>
      <c r="C50" s="30"/>
      <c r="D50" s="30"/>
      <c r="E50" s="30"/>
      <c r="F50" s="30"/>
      <c r="G50" s="30"/>
      <c r="H50" s="30"/>
      <c r="I50" s="30"/>
      <c r="J50" s="30"/>
      <c r="K50" s="30"/>
      <c r="L50" s="30"/>
      <c r="M50" s="30"/>
      <c r="N50" s="30"/>
      <c r="O50" s="30"/>
      <c r="P50" s="30"/>
      <c r="Q50" s="30"/>
      <c r="R50" s="30"/>
      <c r="S50" s="30"/>
      <c r="T50" s="30"/>
      <c r="U50" s="30"/>
    </row>
    <row r="51" spans="1:28" x14ac:dyDescent="0.2">
      <c r="A51" s="27"/>
      <c r="B51" s="30"/>
      <c r="C51" s="30"/>
      <c r="D51" s="30"/>
      <c r="E51" s="30"/>
      <c r="F51" s="30"/>
      <c r="G51" s="30"/>
      <c r="H51" s="30"/>
      <c r="I51" s="30"/>
      <c r="J51" s="30"/>
      <c r="K51" s="30"/>
      <c r="L51" s="30"/>
      <c r="M51" s="30"/>
      <c r="N51" s="30"/>
      <c r="O51" s="30"/>
      <c r="P51" s="30"/>
      <c r="Q51" s="30"/>
      <c r="R51" s="30"/>
      <c r="S51" s="30"/>
      <c r="T51" s="30"/>
      <c r="U51" s="30"/>
    </row>
    <row r="52" spans="1:28" x14ac:dyDescent="0.2">
      <c r="A52" s="27"/>
      <c r="B52" s="30"/>
      <c r="C52" s="30"/>
      <c r="D52" s="30"/>
      <c r="E52" s="30"/>
      <c r="F52" s="30"/>
      <c r="G52" s="30"/>
      <c r="H52" s="30"/>
      <c r="I52" s="30"/>
      <c r="J52" s="30"/>
      <c r="K52" s="30"/>
      <c r="L52" s="30"/>
      <c r="M52" s="30"/>
      <c r="N52" s="30"/>
      <c r="O52" s="30"/>
      <c r="P52" s="30"/>
      <c r="Q52" s="30"/>
      <c r="R52" s="30"/>
      <c r="S52" s="30"/>
      <c r="T52" s="30"/>
      <c r="U52" s="30"/>
    </row>
    <row r="53" spans="1:28" x14ac:dyDescent="0.2">
      <c r="A53" s="27"/>
      <c r="B53" s="30"/>
      <c r="C53" s="30"/>
      <c r="D53" s="30"/>
      <c r="E53" s="30"/>
      <c r="F53" s="30"/>
      <c r="G53" s="30"/>
      <c r="H53" s="30"/>
      <c r="I53" s="30"/>
      <c r="J53" s="30"/>
      <c r="K53" s="30"/>
      <c r="L53" s="30"/>
      <c r="M53" s="30"/>
      <c r="N53" s="30"/>
      <c r="O53" s="30"/>
      <c r="P53" s="30"/>
      <c r="Q53" s="30"/>
      <c r="R53" s="30"/>
      <c r="S53" s="30"/>
      <c r="T53" s="30"/>
      <c r="U53" s="30"/>
    </row>
    <row r="54" spans="1:28" x14ac:dyDescent="0.2">
      <c r="A54" s="27"/>
      <c r="B54" s="30"/>
      <c r="C54" s="30"/>
      <c r="D54" s="30"/>
      <c r="E54" s="30"/>
      <c r="F54" s="30"/>
      <c r="G54" s="30"/>
      <c r="H54" s="30"/>
      <c r="I54" s="30"/>
      <c r="J54" s="30"/>
      <c r="K54" s="30"/>
      <c r="L54" s="30"/>
      <c r="M54" s="30"/>
      <c r="N54" s="30"/>
      <c r="O54" s="30"/>
      <c r="P54" s="30"/>
      <c r="Q54" s="30"/>
      <c r="R54" s="30"/>
      <c r="S54" s="30"/>
      <c r="T54" s="30"/>
      <c r="U54" s="30"/>
    </row>
    <row r="55" spans="1:28" x14ac:dyDescent="0.2">
      <c r="A55" s="27"/>
      <c r="B55" s="30"/>
      <c r="C55" s="30"/>
      <c r="D55" s="30"/>
      <c r="E55" s="30"/>
      <c r="F55" s="30"/>
      <c r="G55" s="30"/>
      <c r="H55" s="30"/>
      <c r="I55" s="30"/>
      <c r="J55" s="30"/>
      <c r="K55" s="30"/>
      <c r="L55" s="30"/>
      <c r="M55" s="30"/>
      <c r="N55" s="30"/>
      <c r="O55" s="30"/>
      <c r="P55" s="30"/>
      <c r="Q55" s="30"/>
      <c r="R55" s="30"/>
      <c r="S55" s="30"/>
      <c r="T55" s="30"/>
      <c r="U55" s="30"/>
    </row>
  </sheetData>
  <pageMargins left="0.78740157499999996" right="0.78740157499999996" top="0.984251969" bottom="0.984251969" header="0.5" footer="0.5"/>
  <pageSetup paperSize="9" orientation="landscape"/>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75" x14ac:dyDescent="0.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10"/>
  <sheetViews>
    <sheetView showGridLines="0" workbookViewId="0">
      <selection activeCell="B12" sqref="B12"/>
    </sheetView>
  </sheetViews>
  <sheetFormatPr baseColWidth="10" defaultRowHeight="12.75" x14ac:dyDescent="0.2"/>
  <cols>
    <col min="1" max="1" width="1.140625" customWidth="1"/>
    <col min="2" max="2" width="64.42578125" customWidth="1"/>
    <col min="3" max="3" width="1.5703125" customWidth="1"/>
    <col min="4" max="4" width="5.5703125" customWidth="1"/>
    <col min="5" max="6" width="16" customWidth="1"/>
  </cols>
  <sheetData>
    <row r="1" spans="2:6" ht="25.5" x14ac:dyDescent="0.2">
      <c r="B1" s="69" t="s">
        <v>190</v>
      </c>
      <c r="C1" s="69"/>
      <c r="D1" s="73"/>
      <c r="E1" s="73"/>
      <c r="F1" s="73"/>
    </row>
    <row r="2" spans="2:6" x14ac:dyDescent="0.2">
      <c r="B2" s="69" t="s">
        <v>191</v>
      </c>
      <c r="C2" s="69"/>
      <c r="D2" s="73"/>
      <c r="E2" s="73"/>
      <c r="F2" s="73"/>
    </row>
    <row r="3" spans="2:6" x14ac:dyDescent="0.2">
      <c r="B3" s="70"/>
      <c r="C3" s="70"/>
      <c r="D3" s="74"/>
      <c r="E3" s="74"/>
      <c r="F3" s="74"/>
    </row>
    <row r="4" spans="2:6" ht="63.75" x14ac:dyDescent="0.2">
      <c r="B4" s="70" t="s">
        <v>192</v>
      </c>
      <c r="C4" s="70"/>
      <c r="D4" s="74"/>
      <c r="E4" s="74"/>
      <c r="F4" s="74"/>
    </row>
    <row r="5" spans="2:6" x14ac:dyDescent="0.2">
      <c r="B5" s="70"/>
      <c r="C5" s="70"/>
      <c r="D5" s="74"/>
      <c r="E5" s="74"/>
      <c r="F5" s="74"/>
    </row>
    <row r="6" spans="2:6" ht="25.5" x14ac:dyDescent="0.2">
      <c r="B6" s="69" t="s">
        <v>193</v>
      </c>
      <c r="C6" s="69"/>
      <c r="D6" s="73"/>
      <c r="E6" s="73" t="s">
        <v>194</v>
      </c>
      <c r="F6" s="73" t="s">
        <v>195</v>
      </c>
    </row>
    <row r="7" spans="2:6" ht="13.5" thickBot="1" x14ac:dyDescent="0.25">
      <c r="B7" s="70"/>
      <c r="C7" s="70"/>
      <c r="D7" s="74"/>
      <c r="E7" s="74"/>
      <c r="F7" s="74"/>
    </row>
    <row r="8" spans="2:6" ht="39" thickBot="1" x14ac:dyDescent="0.25">
      <c r="B8" s="71" t="s">
        <v>196</v>
      </c>
      <c r="C8" s="72"/>
      <c r="D8" s="75"/>
      <c r="E8" s="77">
        <v>4</v>
      </c>
      <c r="F8" s="76" t="s">
        <v>197</v>
      </c>
    </row>
    <row r="9" spans="2:6" x14ac:dyDescent="0.2">
      <c r="B9" s="70"/>
      <c r="C9" s="70"/>
      <c r="D9" s="74"/>
      <c r="E9" s="74"/>
      <c r="F9" s="74"/>
    </row>
    <row r="10" spans="2:6" x14ac:dyDescent="0.2">
      <c r="B10" s="70"/>
      <c r="C10" s="70"/>
      <c r="D10" s="74"/>
      <c r="E10" s="74"/>
      <c r="F10" s="7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10"/>
  <sheetViews>
    <sheetView showGridLines="0" workbookViewId="0"/>
  </sheetViews>
  <sheetFormatPr baseColWidth="10" defaultRowHeight="12.75" x14ac:dyDescent="0.2"/>
  <cols>
    <col min="1" max="1" width="1.140625" customWidth="1"/>
    <col min="2" max="2" width="64.42578125" customWidth="1"/>
    <col min="3" max="3" width="1.5703125" customWidth="1"/>
    <col min="4" max="4" width="5.5703125" customWidth="1"/>
    <col min="5" max="6" width="16" customWidth="1"/>
  </cols>
  <sheetData>
    <row r="1" spans="2:6" ht="25.5" x14ac:dyDescent="0.2">
      <c r="B1" s="69" t="s">
        <v>190</v>
      </c>
      <c r="C1" s="69"/>
      <c r="D1" s="73"/>
      <c r="E1" s="73"/>
      <c r="F1" s="73"/>
    </row>
    <row r="2" spans="2:6" x14ac:dyDescent="0.2">
      <c r="B2" s="69" t="s">
        <v>198</v>
      </c>
      <c r="C2" s="69"/>
      <c r="D2" s="73"/>
      <c r="E2" s="73"/>
      <c r="F2" s="73"/>
    </row>
    <row r="3" spans="2:6" x14ac:dyDescent="0.2">
      <c r="B3" s="70"/>
      <c r="C3" s="70"/>
      <c r="D3" s="74"/>
      <c r="E3" s="74"/>
      <c r="F3" s="74"/>
    </row>
    <row r="4" spans="2:6" ht="63.75" x14ac:dyDescent="0.2">
      <c r="B4" s="70" t="s">
        <v>192</v>
      </c>
      <c r="C4" s="70"/>
      <c r="D4" s="74"/>
      <c r="E4" s="74"/>
      <c r="F4" s="74"/>
    </row>
    <row r="5" spans="2:6" x14ac:dyDescent="0.2">
      <c r="B5" s="70"/>
      <c r="C5" s="70"/>
      <c r="D5" s="74"/>
      <c r="E5" s="74"/>
      <c r="F5" s="74"/>
    </row>
    <row r="6" spans="2:6" ht="25.5" x14ac:dyDescent="0.2">
      <c r="B6" s="69" t="s">
        <v>193</v>
      </c>
      <c r="C6" s="69"/>
      <c r="D6" s="73"/>
      <c r="E6" s="73" t="s">
        <v>194</v>
      </c>
      <c r="F6" s="73" t="s">
        <v>195</v>
      </c>
    </row>
    <row r="7" spans="2:6" ht="13.5" thickBot="1" x14ac:dyDescent="0.25">
      <c r="B7" s="70"/>
      <c r="C7" s="70"/>
      <c r="D7" s="74"/>
      <c r="E7" s="74"/>
      <c r="F7" s="74"/>
    </row>
    <row r="8" spans="2:6" ht="39" thickBot="1" x14ac:dyDescent="0.25">
      <c r="B8" s="71" t="s">
        <v>196</v>
      </c>
      <c r="C8" s="72"/>
      <c r="D8" s="75"/>
      <c r="E8" s="75">
        <v>4</v>
      </c>
      <c r="F8" s="76" t="s">
        <v>197</v>
      </c>
    </row>
    <row r="9" spans="2:6" x14ac:dyDescent="0.2">
      <c r="B9" s="70"/>
      <c r="C9" s="70"/>
      <c r="D9" s="74"/>
      <c r="E9" s="74"/>
      <c r="F9" s="74"/>
    </row>
    <row r="10" spans="2:6" x14ac:dyDescent="0.2">
      <c r="B10" s="70"/>
      <c r="C10" s="70"/>
      <c r="D10" s="74"/>
      <c r="E10" s="74"/>
      <c r="F10" s="7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10"/>
  <sheetViews>
    <sheetView showGridLines="0" workbookViewId="0"/>
  </sheetViews>
  <sheetFormatPr baseColWidth="10" defaultRowHeight="12.75" x14ac:dyDescent="0.2"/>
  <cols>
    <col min="1" max="1" width="1.140625" customWidth="1"/>
    <col min="2" max="2" width="64.42578125" customWidth="1"/>
    <col min="3" max="3" width="1.5703125" customWidth="1"/>
    <col min="4" max="4" width="5.5703125" customWidth="1"/>
    <col min="5" max="6" width="16" customWidth="1"/>
  </cols>
  <sheetData>
    <row r="1" spans="2:6" ht="25.5" x14ac:dyDescent="0.2">
      <c r="B1" s="93" t="s">
        <v>201</v>
      </c>
      <c r="C1" s="93"/>
      <c r="D1" s="94"/>
      <c r="E1" s="94"/>
      <c r="F1" s="94"/>
    </row>
    <row r="2" spans="2:6" x14ac:dyDescent="0.2">
      <c r="B2" s="93" t="s">
        <v>202</v>
      </c>
      <c r="C2" s="93"/>
      <c r="D2" s="94"/>
      <c r="E2" s="94"/>
      <c r="F2" s="94"/>
    </row>
    <row r="3" spans="2:6" x14ac:dyDescent="0.2">
      <c r="B3" s="70"/>
      <c r="C3" s="70"/>
      <c r="D3" s="74"/>
      <c r="E3" s="74"/>
      <c r="F3" s="74"/>
    </row>
    <row r="4" spans="2:6" ht="63.75" x14ac:dyDescent="0.2">
      <c r="B4" s="70" t="s">
        <v>192</v>
      </c>
      <c r="C4" s="70"/>
      <c r="D4" s="74"/>
      <c r="E4" s="74"/>
      <c r="F4" s="74"/>
    </row>
    <row r="5" spans="2:6" x14ac:dyDescent="0.2">
      <c r="B5" s="70"/>
      <c r="C5" s="70"/>
      <c r="D5" s="74"/>
      <c r="E5" s="74"/>
      <c r="F5" s="74"/>
    </row>
    <row r="6" spans="2:6" ht="25.5" x14ac:dyDescent="0.2">
      <c r="B6" s="93" t="s">
        <v>193</v>
      </c>
      <c r="C6" s="93"/>
      <c r="D6" s="94"/>
      <c r="E6" s="94" t="s">
        <v>194</v>
      </c>
      <c r="F6" s="94" t="s">
        <v>195</v>
      </c>
    </row>
    <row r="7" spans="2:6" ht="13.5" thickBot="1" x14ac:dyDescent="0.25">
      <c r="B7" s="70"/>
      <c r="C7" s="70"/>
      <c r="D7" s="74"/>
      <c r="E7" s="74"/>
      <c r="F7" s="74"/>
    </row>
    <row r="8" spans="2:6" ht="39" thickBot="1" x14ac:dyDescent="0.25">
      <c r="B8" s="71" t="s">
        <v>196</v>
      </c>
      <c r="C8" s="72"/>
      <c r="D8" s="75"/>
      <c r="E8" s="75">
        <v>20</v>
      </c>
      <c r="F8" s="76" t="s">
        <v>197</v>
      </c>
    </row>
    <row r="9" spans="2:6" x14ac:dyDescent="0.2">
      <c r="B9" s="70"/>
      <c r="C9" s="70"/>
      <c r="D9" s="74"/>
      <c r="E9" s="74"/>
      <c r="F9" s="74"/>
    </row>
    <row r="10" spans="2:6" x14ac:dyDescent="0.2">
      <c r="B10" s="70"/>
      <c r="C10" s="70"/>
      <c r="D10" s="74"/>
      <c r="E10" s="74"/>
      <c r="F10" s="7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10"/>
  <sheetViews>
    <sheetView showGridLines="0" workbookViewId="0"/>
  </sheetViews>
  <sheetFormatPr baseColWidth="10" defaultRowHeight="12.75" x14ac:dyDescent="0.2"/>
  <cols>
    <col min="1" max="1" width="1.140625" customWidth="1"/>
    <col min="2" max="2" width="64.42578125" customWidth="1"/>
    <col min="3" max="3" width="1.5703125" customWidth="1"/>
    <col min="4" max="4" width="5.5703125" customWidth="1"/>
    <col min="5" max="6" width="16" customWidth="1"/>
  </cols>
  <sheetData>
    <row r="1" spans="2:6" ht="25.5" x14ac:dyDescent="0.2">
      <c r="B1" s="93" t="s">
        <v>215</v>
      </c>
      <c r="C1" s="93"/>
      <c r="D1" s="94"/>
      <c r="E1" s="94"/>
      <c r="F1" s="94"/>
    </row>
    <row r="2" spans="2:6" x14ac:dyDescent="0.2">
      <c r="B2" s="93" t="s">
        <v>216</v>
      </c>
      <c r="C2" s="93"/>
      <c r="D2" s="94"/>
      <c r="E2" s="94"/>
      <c r="F2" s="94"/>
    </row>
    <row r="3" spans="2:6" x14ac:dyDescent="0.2">
      <c r="B3" s="70"/>
      <c r="C3" s="70"/>
      <c r="D3" s="74"/>
      <c r="E3" s="74"/>
      <c r="F3" s="74"/>
    </row>
    <row r="4" spans="2:6" ht="63.75" x14ac:dyDescent="0.2">
      <c r="B4" s="70" t="s">
        <v>192</v>
      </c>
      <c r="C4" s="70"/>
      <c r="D4" s="74"/>
      <c r="E4" s="74"/>
      <c r="F4" s="74"/>
    </row>
    <row r="5" spans="2:6" x14ac:dyDescent="0.2">
      <c r="B5" s="70"/>
      <c r="C5" s="70"/>
      <c r="D5" s="74"/>
      <c r="E5" s="74"/>
      <c r="F5" s="74"/>
    </row>
    <row r="6" spans="2:6" ht="25.5" x14ac:dyDescent="0.2">
      <c r="B6" s="93" t="s">
        <v>193</v>
      </c>
      <c r="C6" s="93"/>
      <c r="D6" s="94"/>
      <c r="E6" s="94" t="s">
        <v>194</v>
      </c>
      <c r="F6" s="94" t="s">
        <v>195</v>
      </c>
    </row>
    <row r="7" spans="2:6" ht="13.5" thickBot="1" x14ac:dyDescent="0.25">
      <c r="B7" s="70"/>
      <c r="C7" s="70"/>
      <c r="D7" s="74"/>
      <c r="E7" s="74"/>
      <c r="F7" s="74"/>
    </row>
    <row r="8" spans="2:6" ht="39" thickBot="1" x14ac:dyDescent="0.25">
      <c r="B8" s="71" t="s">
        <v>196</v>
      </c>
      <c r="C8" s="72"/>
      <c r="D8" s="75"/>
      <c r="E8" s="75">
        <v>41</v>
      </c>
      <c r="F8" s="76" t="s">
        <v>197</v>
      </c>
    </row>
    <row r="9" spans="2:6" x14ac:dyDescent="0.2">
      <c r="B9" s="70"/>
      <c r="C9" s="70"/>
      <c r="D9" s="74"/>
      <c r="E9" s="74"/>
      <c r="F9" s="74"/>
    </row>
    <row r="10" spans="2:6" x14ac:dyDescent="0.2">
      <c r="B10" s="70"/>
      <c r="C10" s="70"/>
      <c r="D10" s="74"/>
      <c r="E10" s="74"/>
      <c r="F10" s="7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Graphiques</vt:lpstr>
      </vt:variant>
      <vt:variant>
        <vt:i4>7</vt:i4>
      </vt:variant>
    </vt:vector>
  </HeadingPairs>
  <TitlesOfParts>
    <vt:vector size="20" baseType="lpstr">
      <vt:lpstr>Aperçu</vt:lpstr>
      <vt:lpstr>GRH</vt:lpstr>
      <vt:lpstr>GRF</vt:lpstr>
      <vt:lpstr>PartEq</vt:lpstr>
      <vt:lpstr>Dur</vt:lpstr>
      <vt:lpstr>Partn</vt:lpstr>
      <vt:lpstr>AppOrg</vt:lpstr>
      <vt:lpstr>Gouv</vt:lpstr>
      <vt:lpstr>Feuil1</vt:lpstr>
      <vt:lpstr>Rapport sur la compatibilité</vt:lpstr>
      <vt:lpstr>Rapport sur la compatibilité (1</vt:lpstr>
      <vt:lpstr>Récupéré_Feuil1</vt:lpstr>
      <vt:lpstr>Récupéré_Feuil2</vt:lpstr>
      <vt:lpstr>Grap GRH</vt:lpstr>
      <vt:lpstr>Grap GRF</vt:lpstr>
      <vt:lpstr>Grap PartEq</vt:lpstr>
      <vt:lpstr>Grap Dur</vt:lpstr>
      <vt:lpstr>Grap Partn</vt:lpstr>
      <vt:lpstr>Grap AppOrg</vt:lpstr>
      <vt:lpstr>Grap Gouv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PCA Score Calculator empty</dc:title>
  <dc:creator>Jouwert van Geene</dc:creator>
  <cp:lastModifiedBy>BA</cp:lastModifiedBy>
  <cp:lastPrinted>2018-04-10T18:14:42Z</cp:lastPrinted>
  <dcterms:created xsi:type="dcterms:W3CDTF">2002-10-10T05:54:30Z</dcterms:created>
  <dcterms:modified xsi:type="dcterms:W3CDTF">2018-04-10T21:24:23Z</dcterms:modified>
</cp:coreProperties>
</file>