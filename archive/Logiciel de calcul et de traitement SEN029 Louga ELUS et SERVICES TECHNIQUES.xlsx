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drawings/drawing14.xml" ContentType="application/vnd.openxmlformats-officedocument.drawingml.chartshapes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backupFile="1" codeName="ThisWorkbook"/>
  <bookViews>
    <workbookView xWindow="360" yWindow="75" windowWidth="8625" windowHeight="4155"/>
  </bookViews>
  <sheets>
    <sheet name="Aperçu" sheetId="3" r:id="rId1"/>
    <sheet name="GRH" sheetId="1" r:id="rId2"/>
    <sheet name="GRF" sheetId="5" r:id="rId3"/>
    <sheet name="PartEq" sheetId="8" r:id="rId4"/>
    <sheet name="Dur" sheetId="10" r:id="rId5"/>
    <sheet name="Partn" sheetId="12" r:id="rId6"/>
    <sheet name="Gouv" sheetId="20" r:id="rId7"/>
    <sheet name="Grap GRH" sheetId="18" r:id="rId8"/>
    <sheet name="Grap GRF" sheetId="6" r:id="rId9"/>
    <sheet name="Grap PartEq" sheetId="9" r:id="rId10"/>
    <sheet name="Grap Dur" sheetId="11" r:id="rId11"/>
    <sheet name="Grap Partn" sheetId="13" r:id="rId12"/>
    <sheet name="Grap Gouv" sheetId="21" r:id="rId13"/>
    <sheet name="Rapport sur la compatibilité" sheetId="22" r:id="rId14"/>
    <sheet name="Feuil1" sheetId="23" r:id="rId15"/>
    <sheet name="Feuil2" sheetId="24" r:id="rId16"/>
  </sheets>
  <calcPr calcId="145621"/>
</workbook>
</file>

<file path=xl/calcChain.xml><?xml version="1.0" encoding="utf-8"?>
<calcChain xmlns="http://schemas.openxmlformats.org/spreadsheetml/2006/main">
  <c r="P4" i="1" l="1"/>
  <c r="O27" i="1"/>
  <c r="P27" i="1"/>
  <c r="P28" i="1" s="1"/>
  <c r="Q27" i="1"/>
  <c r="R27" i="1"/>
  <c r="R28" i="1" s="1"/>
  <c r="S27" i="1"/>
  <c r="T27" i="1"/>
  <c r="T28" i="1" s="1"/>
  <c r="U27" i="1"/>
  <c r="O28" i="1"/>
  <c r="Q28" i="1"/>
  <c r="S28" i="1"/>
  <c r="U28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R7" i="3" l="1"/>
  <c r="AC7" i="8"/>
  <c r="F12" i="3" l="1"/>
  <c r="E12" i="3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C44" i="1"/>
  <c r="D44" i="1"/>
  <c r="E44" i="1"/>
  <c r="F44" i="1"/>
  <c r="G44" i="1"/>
  <c r="H44" i="1"/>
  <c r="I44" i="1"/>
  <c r="J44" i="1"/>
  <c r="K44" i="1"/>
  <c r="L44" i="1"/>
  <c r="M44" i="1"/>
  <c r="N44" i="1"/>
  <c r="B44" i="1"/>
  <c r="B37" i="5"/>
  <c r="X55" i="12"/>
  <c r="W55" i="12"/>
  <c r="C55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B55" i="12"/>
  <c r="Q41" i="20"/>
  <c r="B24" i="8"/>
  <c r="D25" i="5"/>
  <c r="D26" i="5"/>
  <c r="B25" i="5"/>
  <c r="B26" i="5"/>
  <c r="V57" i="1"/>
  <c r="B44" i="3"/>
  <c r="A44" i="3"/>
  <c r="B43" i="3"/>
  <c r="A43" i="3"/>
  <c r="B42" i="3"/>
  <c r="A42" i="3"/>
  <c r="B41" i="3"/>
  <c r="A41" i="3"/>
  <c r="B40" i="3"/>
  <c r="A40" i="3"/>
  <c r="B39" i="3"/>
  <c r="B45" i="3"/>
  <c r="A39" i="3"/>
  <c r="A45" i="3"/>
  <c r="L6" i="20"/>
  <c r="L6" i="12"/>
  <c r="L6" i="10"/>
  <c r="L8" i="1"/>
  <c r="L6" i="5"/>
  <c r="L6" i="1"/>
  <c r="L6" i="8"/>
  <c r="P4" i="8"/>
  <c r="V24" i="5"/>
  <c r="U54" i="12"/>
  <c r="C54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B54" i="12"/>
  <c r="V24" i="12"/>
  <c r="W24" i="12"/>
  <c r="V23" i="12"/>
  <c r="W23" i="12"/>
  <c r="G24" i="8"/>
  <c r="V13" i="8"/>
  <c r="W42" i="8" s="1"/>
  <c r="V14" i="8"/>
  <c r="W43" i="8" s="1"/>
  <c r="V15" i="8"/>
  <c r="W44" i="8" s="1"/>
  <c r="V16" i="8"/>
  <c r="W16" i="8" s="1"/>
  <c r="V17" i="8"/>
  <c r="W46" i="8" s="1"/>
  <c r="V18" i="8"/>
  <c r="V19" i="8"/>
  <c r="W48" i="8" s="1"/>
  <c r="V20" i="8"/>
  <c r="W49" i="8" s="1"/>
  <c r="V21" i="8"/>
  <c r="W50" i="8" s="1"/>
  <c r="V22" i="8"/>
  <c r="W51" i="8" s="1"/>
  <c r="V23" i="8"/>
  <c r="W52" i="8" s="1"/>
  <c r="V12" i="8"/>
  <c r="W41" i="8" s="1"/>
  <c r="J27" i="1"/>
  <c r="J28" i="1" s="1"/>
  <c r="I27" i="1"/>
  <c r="I28" i="1" s="1"/>
  <c r="H27" i="1"/>
  <c r="H28" i="1" s="1"/>
  <c r="G27" i="1"/>
  <c r="G28" i="1" s="1"/>
  <c r="F27" i="1"/>
  <c r="F28" i="1" s="1"/>
  <c r="E27" i="1"/>
  <c r="E28" i="1" s="1"/>
  <c r="D27" i="1"/>
  <c r="D28" i="1" s="1"/>
  <c r="C27" i="1"/>
  <c r="C28" i="1" s="1"/>
  <c r="B27" i="1"/>
  <c r="B28" i="1" s="1"/>
  <c r="V23" i="1"/>
  <c r="W55" i="1" s="1"/>
  <c r="V24" i="1"/>
  <c r="W56" i="1"/>
  <c r="V12" i="1"/>
  <c r="V13" i="1"/>
  <c r="W13" i="1" s="1"/>
  <c r="V14" i="1"/>
  <c r="W46" i="1" s="1"/>
  <c r="V15" i="1"/>
  <c r="W47" i="1" s="1"/>
  <c r="V16" i="1"/>
  <c r="V17" i="1"/>
  <c r="W49" i="1" s="1"/>
  <c r="V18" i="1"/>
  <c r="V19" i="1"/>
  <c r="W51" i="1" s="1"/>
  <c r="V20" i="1"/>
  <c r="W20" i="1"/>
  <c r="V21" i="1"/>
  <c r="W21" i="1"/>
  <c r="V22" i="1"/>
  <c r="W54" i="1"/>
  <c r="V25" i="1"/>
  <c r="W57" i="1"/>
  <c r="V26" i="1"/>
  <c r="W58" i="1" s="1"/>
  <c r="K27" i="1"/>
  <c r="K28" i="1" s="1"/>
  <c r="L27" i="1"/>
  <c r="L28" i="1" s="1"/>
  <c r="M27" i="1"/>
  <c r="M28" i="1" s="1"/>
  <c r="N27" i="1"/>
  <c r="N28" i="1"/>
  <c r="V54" i="1"/>
  <c r="Y54" i="1" s="1"/>
  <c r="P4" i="5"/>
  <c r="V12" i="5"/>
  <c r="W38" i="5"/>
  <c r="V13" i="5"/>
  <c r="W39" i="5"/>
  <c r="V14" i="5"/>
  <c r="W40" i="5"/>
  <c r="V15" i="5"/>
  <c r="W41" i="5"/>
  <c r="V16" i="5"/>
  <c r="W42" i="5"/>
  <c r="V17" i="5"/>
  <c r="W43" i="5"/>
  <c r="V18" i="5"/>
  <c r="W44" i="5"/>
  <c r="V19" i="5"/>
  <c r="W45" i="5"/>
  <c r="V20" i="5"/>
  <c r="W46" i="5"/>
  <c r="V21" i="5"/>
  <c r="W47" i="5"/>
  <c r="V22" i="5"/>
  <c r="W48" i="5"/>
  <c r="V23" i="5"/>
  <c r="W49" i="5"/>
  <c r="C25" i="5"/>
  <c r="E25" i="5"/>
  <c r="E26" i="5" s="1"/>
  <c r="F25" i="5"/>
  <c r="F26" i="5" s="1"/>
  <c r="G25" i="5"/>
  <c r="H25" i="5"/>
  <c r="I25" i="5"/>
  <c r="J25" i="5"/>
  <c r="K25" i="5"/>
  <c r="L25" i="5"/>
  <c r="M25" i="5"/>
  <c r="N25" i="5"/>
  <c r="N26" i="5"/>
  <c r="O25" i="5"/>
  <c r="O26" i="5"/>
  <c r="P25" i="5"/>
  <c r="Q25" i="5"/>
  <c r="R25" i="5"/>
  <c r="S25" i="5"/>
  <c r="T25" i="5"/>
  <c r="U25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B25" i="8"/>
  <c r="C24" i="8"/>
  <c r="C25" i="8"/>
  <c r="D24" i="8"/>
  <c r="D25" i="8"/>
  <c r="E24" i="8"/>
  <c r="E25" i="8"/>
  <c r="F24" i="8"/>
  <c r="F25" i="8"/>
  <c r="H24" i="8"/>
  <c r="I24" i="8"/>
  <c r="J24" i="8"/>
  <c r="K24" i="8"/>
  <c r="L24" i="8"/>
  <c r="M24" i="8"/>
  <c r="N24" i="8"/>
  <c r="O24" i="8"/>
  <c r="O25" i="8" s="1"/>
  <c r="P24" i="8"/>
  <c r="Q24" i="8"/>
  <c r="Q25" i="8"/>
  <c r="R24" i="8"/>
  <c r="S24" i="8"/>
  <c r="S25" i="8" s="1"/>
  <c r="T24" i="8"/>
  <c r="T25" i="8" s="1"/>
  <c r="U24" i="8"/>
  <c r="H25" i="8"/>
  <c r="U25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X45" i="10"/>
  <c r="V12" i="10"/>
  <c r="V13" i="10"/>
  <c r="W37" i="10" s="1"/>
  <c r="V14" i="10"/>
  <c r="V15" i="10"/>
  <c r="W39" i="10" s="1"/>
  <c r="V16" i="10"/>
  <c r="W40" i="10" s="1"/>
  <c r="V17" i="10"/>
  <c r="W17" i="10" s="1"/>
  <c r="V18" i="10"/>
  <c r="W18" i="10" s="1"/>
  <c r="V19" i="10"/>
  <c r="W43" i="10" s="1"/>
  <c r="V20" i="10"/>
  <c r="V21" i="10"/>
  <c r="W45" i="10" s="1"/>
  <c r="V22" i="10"/>
  <c r="W22" i="10" s="1"/>
  <c r="V23" i="10"/>
  <c r="W47" i="10" s="1"/>
  <c r="B24" i="10"/>
  <c r="B25" i="10" s="1"/>
  <c r="C24" i="10"/>
  <c r="C25" i="10" s="1"/>
  <c r="D24" i="10"/>
  <c r="D25" i="10" s="1"/>
  <c r="E24" i="10"/>
  <c r="E25" i="10" s="1"/>
  <c r="F24" i="10"/>
  <c r="F25" i="10" s="1"/>
  <c r="G24" i="10"/>
  <c r="G25" i="10" s="1"/>
  <c r="H24" i="10"/>
  <c r="H25" i="10" s="1"/>
  <c r="I24" i="10"/>
  <c r="I25" i="10" s="1"/>
  <c r="J24" i="10"/>
  <c r="J25" i="10" s="1"/>
  <c r="K24" i="10"/>
  <c r="L24" i="10"/>
  <c r="L25" i="10"/>
  <c r="M24" i="10"/>
  <c r="N24" i="10"/>
  <c r="N25" i="10" s="1"/>
  <c r="O24" i="10"/>
  <c r="O25" i="10" s="1"/>
  <c r="P24" i="10"/>
  <c r="P25" i="10"/>
  <c r="Q24" i="10"/>
  <c r="R24" i="10"/>
  <c r="R25" i="10" s="1"/>
  <c r="S24" i="10"/>
  <c r="T24" i="10"/>
  <c r="T25" i="10"/>
  <c r="U24" i="10"/>
  <c r="K25" i="10"/>
  <c r="M25" i="10"/>
  <c r="Q25" i="10"/>
  <c r="S25" i="10"/>
  <c r="U25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P4" i="12"/>
  <c r="V12" i="12"/>
  <c r="W43" i="12"/>
  <c r="V13" i="12"/>
  <c r="W44" i="12"/>
  <c r="V14" i="12"/>
  <c r="W45" i="12"/>
  <c r="V15" i="12"/>
  <c r="W46" i="12"/>
  <c r="V16" i="12"/>
  <c r="W16" i="12"/>
  <c r="V17" i="12"/>
  <c r="W17" i="12"/>
  <c r="V18" i="12"/>
  <c r="V19" i="12"/>
  <c r="W19" i="12" s="1"/>
  <c r="V20" i="12"/>
  <c r="W20" i="12" s="1"/>
  <c r="V21" i="12"/>
  <c r="W21" i="12" s="1"/>
  <c r="V22" i="12"/>
  <c r="B25" i="12"/>
  <c r="B26" i="12" s="1"/>
  <c r="C25" i="12"/>
  <c r="D25" i="12"/>
  <c r="D26" i="12" s="1"/>
  <c r="E25" i="12"/>
  <c r="E26" i="12" s="1"/>
  <c r="F25" i="12"/>
  <c r="F26" i="12" s="1"/>
  <c r="G25" i="12"/>
  <c r="G26" i="12" s="1"/>
  <c r="H25" i="12"/>
  <c r="H26" i="12" s="1"/>
  <c r="I25" i="12"/>
  <c r="I26" i="12" s="1"/>
  <c r="J25" i="12"/>
  <c r="J26" i="12" s="1"/>
  <c r="K25" i="12"/>
  <c r="K26" i="12" s="1"/>
  <c r="L25" i="12"/>
  <c r="L26" i="12" s="1"/>
  <c r="M25" i="12"/>
  <c r="N25" i="12"/>
  <c r="N26" i="12"/>
  <c r="O25" i="12"/>
  <c r="O26" i="12"/>
  <c r="P25" i="12"/>
  <c r="P26" i="12"/>
  <c r="Q25" i="12"/>
  <c r="R25" i="12"/>
  <c r="R26" i="12" s="1"/>
  <c r="S25" i="12"/>
  <c r="S26" i="12" s="1"/>
  <c r="T25" i="12"/>
  <c r="T26" i="12" s="1"/>
  <c r="U25" i="12"/>
  <c r="U26" i="12" s="1"/>
  <c r="M26" i="12"/>
  <c r="Q26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B45" i="12"/>
  <c r="C45" i="12"/>
  <c r="V45" i="12"/>
  <c r="Y45" i="12" s="1"/>
  <c r="Z45" i="12" s="1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W47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W48" i="12"/>
  <c r="B49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W49" i="12"/>
  <c r="B50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W50" i="12"/>
  <c r="B51" i="12"/>
  <c r="C51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B52" i="12"/>
  <c r="C52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B53" i="12"/>
  <c r="C53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P4" i="20"/>
  <c r="V12" i="20"/>
  <c r="W39" i="20"/>
  <c r="V13" i="20"/>
  <c r="W40" i="20"/>
  <c r="V14" i="20"/>
  <c r="W14" i="20"/>
  <c r="V15" i="20"/>
  <c r="V16" i="20"/>
  <c r="W43" i="20" s="1"/>
  <c r="V17" i="20"/>
  <c r="V18" i="20"/>
  <c r="W45" i="20" s="1"/>
  <c r="V19" i="20"/>
  <c r="V20" i="20"/>
  <c r="W47" i="20" s="1"/>
  <c r="V21" i="20"/>
  <c r="W21" i="20" s="1"/>
  <c r="V22" i="20"/>
  <c r="W49" i="20" s="1"/>
  <c r="V23" i="20"/>
  <c r="V24" i="20"/>
  <c r="W51" i="20" s="1"/>
  <c r="V25" i="20"/>
  <c r="W25" i="20" s="1"/>
  <c r="V26" i="20"/>
  <c r="W26" i="20" s="1"/>
  <c r="B27" i="20"/>
  <c r="C27" i="20"/>
  <c r="C28" i="20" s="1"/>
  <c r="D27" i="20"/>
  <c r="D28" i="20" s="1"/>
  <c r="E27" i="20"/>
  <c r="E28" i="20" s="1"/>
  <c r="F27" i="20"/>
  <c r="F28" i="20" s="1"/>
  <c r="G27" i="20"/>
  <c r="G28" i="20" s="1"/>
  <c r="H27" i="20"/>
  <c r="H28" i="20" s="1"/>
  <c r="I27" i="20"/>
  <c r="I28" i="20" s="1"/>
  <c r="J27" i="20"/>
  <c r="J28" i="20" s="1"/>
  <c r="K27" i="20"/>
  <c r="K28" i="20"/>
  <c r="L27" i="20"/>
  <c r="M27" i="20"/>
  <c r="M28" i="20" s="1"/>
  <c r="N27" i="20"/>
  <c r="O27" i="20"/>
  <c r="O28" i="20"/>
  <c r="P27" i="20"/>
  <c r="Q27" i="20"/>
  <c r="Q28" i="20" s="1"/>
  <c r="R27" i="20"/>
  <c r="R28" i="20" s="1"/>
  <c r="S27" i="20"/>
  <c r="S28" i="20"/>
  <c r="T27" i="20"/>
  <c r="U27" i="20"/>
  <c r="U28" i="20" s="1"/>
  <c r="L28" i="20"/>
  <c r="N28" i="20"/>
  <c r="P28" i="20"/>
  <c r="T28" i="20"/>
  <c r="B39" i="20"/>
  <c r="C39" i="20"/>
  <c r="D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B40" i="20"/>
  <c r="C40" i="20"/>
  <c r="D40" i="20"/>
  <c r="E40" i="20"/>
  <c r="F40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B41" i="20"/>
  <c r="C41" i="20"/>
  <c r="D41" i="20"/>
  <c r="E41" i="20"/>
  <c r="F41" i="20"/>
  <c r="G41" i="20"/>
  <c r="H41" i="20"/>
  <c r="I41" i="20"/>
  <c r="J41" i="20"/>
  <c r="K41" i="20"/>
  <c r="L41" i="20"/>
  <c r="M41" i="20"/>
  <c r="N41" i="20"/>
  <c r="O41" i="20"/>
  <c r="P41" i="20"/>
  <c r="R41" i="20"/>
  <c r="S41" i="20"/>
  <c r="T41" i="20"/>
  <c r="U41" i="20"/>
  <c r="B42" i="20"/>
  <c r="C42" i="20"/>
  <c r="D42" i="20"/>
  <c r="E42" i="20"/>
  <c r="F42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W42" i="20"/>
  <c r="B43" i="20"/>
  <c r="C43" i="20"/>
  <c r="D43" i="20"/>
  <c r="E43" i="20"/>
  <c r="F43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B44" i="20"/>
  <c r="C44" i="20"/>
  <c r="D44" i="20"/>
  <c r="E44" i="20"/>
  <c r="F44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B45" i="20"/>
  <c r="C45" i="20"/>
  <c r="D45" i="20"/>
  <c r="E45" i="20"/>
  <c r="F45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B46" i="20"/>
  <c r="C46" i="20"/>
  <c r="D46" i="20"/>
  <c r="E46" i="20"/>
  <c r="F46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B47" i="20"/>
  <c r="C47" i="20"/>
  <c r="D47" i="20"/>
  <c r="E47" i="20"/>
  <c r="F47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B48" i="20"/>
  <c r="C48" i="20"/>
  <c r="D48" i="20"/>
  <c r="E48" i="20"/>
  <c r="F48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B49" i="20"/>
  <c r="C49" i="20"/>
  <c r="D49" i="20"/>
  <c r="E49" i="20"/>
  <c r="F49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B50" i="20"/>
  <c r="C50" i="20"/>
  <c r="D50" i="20"/>
  <c r="E50" i="20"/>
  <c r="F50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B51" i="20"/>
  <c r="C51" i="20"/>
  <c r="D51" i="20"/>
  <c r="E51" i="20"/>
  <c r="F51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B52" i="20"/>
  <c r="C52" i="20"/>
  <c r="D52" i="20"/>
  <c r="E52" i="20"/>
  <c r="F52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B53" i="20"/>
  <c r="C53" i="20"/>
  <c r="D53" i="20"/>
  <c r="E53" i="20"/>
  <c r="F53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46" i="5"/>
  <c r="Y47" i="5" s="1"/>
  <c r="Z47" i="5"/>
  <c r="AA47" i="5" s="1"/>
  <c r="AB47" i="5" s="1"/>
  <c r="X21" i="5" s="1"/>
  <c r="V44" i="5"/>
  <c r="Y45" i="5" s="1"/>
  <c r="Z45" i="5" s="1"/>
  <c r="AA45" i="5" s="1"/>
  <c r="AB45" i="5" s="1"/>
  <c r="X19" i="5" s="1"/>
  <c r="V38" i="5"/>
  <c r="Y39" i="5" s="1"/>
  <c r="Z39" i="5"/>
  <c r="AA39" i="5" s="1"/>
  <c r="AB39" i="5" s="1"/>
  <c r="X13" i="5" s="1"/>
  <c r="V53" i="1"/>
  <c r="X46" i="1"/>
  <c r="V46" i="1"/>
  <c r="X45" i="1"/>
  <c r="X44" i="1"/>
  <c r="X55" i="1"/>
  <c r="X54" i="12"/>
  <c r="X53" i="12"/>
  <c r="X52" i="12"/>
  <c r="X51" i="12"/>
  <c r="X50" i="12"/>
  <c r="X49" i="12"/>
  <c r="X48" i="12"/>
  <c r="X47" i="12"/>
  <c r="X46" i="12"/>
  <c r="X45" i="12"/>
  <c r="X44" i="12"/>
  <c r="X43" i="12"/>
  <c r="W18" i="12"/>
  <c r="W15" i="12"/>
  <c r="X47" i="10"/>
  <c r="X46" i="10"/>
  <c r="X49" i="5"/>
  <c r="X48" i="5"/>
  <c r="X47" i="5"/>
  <c r="X46" i="5"/>
  <c r="X45" i="5"/>
  <c r="X44" i="5"/>
  <c r="X43" i="5"/>
  <c r="AA43" i="5"/>
  <c r="AB43" i="5" s="1"/>
  <c r="X17" i="5" s="1"/>
  <c r="X42" i="5"/>
  <c r="X41" i="5"/>
  <c r="X40" i="5"/>
  <c r="X39" i="5"/>
  <c r="X38" i="5"/>
  <c r="X56" i="1"/>
  <c r="X48" i="1"/>
  <c r="P4" i="10"/>
  <c r="W13" i="10"/>
  <c r="W16" i="10"/>
  <c r="W21" i="10"/>
  <c r="X36" i="10"/>
  <c r="X37" i="10"/>
  <c r="X38" i="10"/>
  <c r="X39" i="10"/>
  <c r="X40" i="10"/>
  <c r="X41" i="10"/>
  <c r="X42" i="10"/>
  <c r="X43" i="10"/>
  <c r="X44" i="10"/>
  <c r="X48" i="8"/>
  <c r="X49" i="8"/>
  <c r="X50" i="8"/>
  <c r="X51" i="8"/>
  <c r="X52" i="8"/>
  <c r="W21" i="5"/>
  <c r="W14" i="5"/>
  <c r="X54" i="1"/>
  <c r="X53" i="1"/>
  <c r="X52" i="1"/>
  <c r="X51" i="1"/>
  <c r="X50" i="1"/>
  <c r="X49" i="1"/>
  <c r="X47" i="8"/>
  <c r="X46" i="8"/>
  <c r="X45" i="8"/>
  <c r="X44" i="8"/>
  <c r="X43" i="8"/>
  <c r="X42" i="8"/>
  <c r="X41" i="8"/>
  <c r="X53" i="20"/>
  <c r="X52" i="20"/>
  <c r="X51" i="20"/>
  <c r="X50" i="20"/>
  <c r="X49" i="20"/>
  <c r="X48" i="20"/>
  <c r="X47" i="20"/>
  <c r="X46" i="20"/>
  <c r="X45" i="20"/>
  <c r="X44" i="20"/>
  <c r="X43" i="20"/>
  <c r="X42" i="20"/>
  <c r="X41" i="20"/>
  <c r="X40" i="20"/>
  <c r="X39" i="20"/>
  <c r="W15" i="20"/>
  <c r="W22" i="8"/>
  <c r="W23" i="8"/>
  <c r="X47" i="1"/>
  <c r="W19" i="1"/>
  <c r="W24" i="5"/>
  <c r="V49" i="5"/>
  <c r="V47" i="5"/>
  <c r="Y48" i="5" s="1"/>
  <c r="Z48" i="5" s="1"/>
  <c r="AA48" i="5" s="1"/>
  <c r="AB48" i="5"/>
  <c r="X22" i="5" s="1"/>
  <c r="W22" i="5"/>
  <c r="V43" i="5"/>
  <c r="W18" i="5"/>
  <c r="V42" i="5"/>
  <c r="Y43" i="5"/>
  <c r="Z43" i="5" s="1"/>
  <c r="W16" i="5"/>
  <c r="W15" i="5"/>
  <c r="V40" i="5"/>
  <c r="V37" i="5"/>
  <c r="Y38" i="5" s="1"/>
  <c r="V48" i="5"/>
  <c r="Y49" i="5" s="1"/>
  <c r="W23" i="5"/>
  <c r="V45" i="5"/>
  <c r="Y46" i="5"/>
  <c r="W19" i="5"/>
  <c r="W17" i="5"/>
  <c r="V41" i="5"/>
  <c r="W20" i="5"/>
  <c r="V39" i="5"/>
  <c r="W13" i="5"/>
  <c r="W12" i="5"/>
  <c r="W17" i="1"/>
  <c r="V47" i="1"/>
  <c r="Y47" i="1" s="1"/>
  <c r="Z47" i="1" s="1"/>
  <c r="AA47" i="1" s="1"/>
  <c r="AB47" i="1" s="1"/>
  <c r="X15" i="1" s="1"/>
  <c r="V44" i="1"/>
  <c r="V54" i="12"/>
  <c r="V51" i="12"/>
  <c r="V48" i="12"/>
  <c r="Y48" i="12"/>
  <c r="Z48" i="12" s="1"/>
  <c r="AA48" i="12"/>
  <c r="AB48" i="12" s="1"/>
  <c r="X17" i="12" s="1"/>
  <c r="V46" i="12"/>
  <c r="Y46" i="12"/>
  <c r="Z46" i="12" s="1"/>
  <c r="W14" i="12"/>
  <c r="W13" i="12"/>
  <c r="W12" i="12"/>
  <c r="W23" i="10"/>
  <c r="V47" i="10"/>
  <c r="V46" i="10"/>
  <c r="Y46" i="10" s="1"/>
  <c r="Z46" i="10"/>
  <c r="AA46" i="10" s="1"/>
  <c r="AB46" i="10" s="1"/>
  <c r="X22" i="10" s="1"/>
  <c r="V45" i="10"/>
  <c r="Y45" i="10" s="1"/>
  <c r="V44" i="10"/>
  <c r="V42" i="10"/>
  <c r="V41" i="10"/>
  <c r="V40" i="10"/>
  <c r="W15" i="10"/>
  <c r="V39" i="10"/>
  <c r="V37" i="10"/>
  <c r="Y37" i="10" s="1"/>
  <c r="Z37" i="10" s="1"/>
  <c r="AA37" i="10" s="1"/>
  <c r="AB37" i="10" s="1"/>
  <c r="X13" i="10" s="1"/>
  <c r="V51" i="8"/>
  <c r="V48" i="8"/>
  <c r="V45" i="8"/>
  <c r="M25" i="8"/>
  <c r="W52" i="1"/>
  <c r="W54" i="12"/>
  <c r="Y54" i="12" s="1"/>
  <c r="Z54" i="12" s="1"/>
  <c r="AA54" i="12" s="1"/>
  <c r="AB54" i="12" s="1"/>
  <c r="X23" i="12" s="1"/>
  <c r="R25" i="8"/>
  <c r="K25" i="8"/>
  <c r="V42" i="20"/>
  <c r="Y42" i="20"/>
  <c r="Z42" i="20" s="1"/>
  <c r="W13" i="20"/>
  <c r="W48" i="20"/>
  <c r="W41" i="20"/>
  <c r="W53" i="20"/>
  <c r="W20" i="20"/>
  <c r="V46" i="20"/>
  <c r="V43" i="20"/>
  <c r="AA42" i="20"/>
  <c r="AB42" i="20" s="1"/>
  <c r="X15" i="20" s="1"/>
  <c r="W12" i="20"/>
  <c r="W52" i="20"/>
  <c r="V49" i="20"/>
  <c r="Y49" i="20"/>
  <c r="Z49" i="20" s="1"/>
  <c r="AA49" i="20"/>
  <c r="AB49" i="20" s="1"/>
  <c r="X22" i="20" s="1"/>
  <c r="W18" i="20"/>
  <c r="V40" i="20"/>
  <c r="Y40" i="20" s="1"/>
  <c r="Z40" i="20"/>
  <c r="AA40" i="20" s="1"/>
  <c r="AB40" i="20" s="1"/>
  <c r="X13" i="20" s="1"/>
  <c r="W22" i="20"/>
  <c r="W16" i="20"/>
  <c r="Y43" i="20"/>
  <c r="Z43" i="20" s="1"/>
  <c r="AA43" i="20"/>
  <c r="AB43" i="20" s="1"/>
  <c r="X16" i="20" s="1"/>
  <c r="W24" i="20"/>
  <c r="N25" i="8"/>
  <c r="W19" i="8"/>
  <c r="L25" i="8"/>
  <c r="W21" i="8"/>
  <c r="W15" i="8"/>
  <c r="V42" i="8"/>
  <c r="Y42" i="8"/>
  <c r="J25" i="8"/>
  <c r="W17" i="8"/>
  <c r="V44" i="8"/>
  <c r="Y44" i="8"/>
  <c r="I25" i="8"/>
  <c r="W13" i="8"/>
  <c r="V41" i="8"/>
  <c r="Y41" i="8"/>
  <c r="Z41" i="8" s="1"/>
  <c r="AA41" i="8" s="1"/>
  <c r="AB41" i="8" s="1"/>
  <c r="X12" i="8" s="1"/>
  <c r="V47" i="8"/>
  <c r="W45" i="8"/>
  <c r="Y45" i="8"/>
  <c r="Z45" i="8" s="1"/>
  <c r="AA45" i="8" s="1"/>
  <c r="AB45" i="8" s="1"/>
  <c r="X16" i="8" s="1"/>
  <c r="W12" i="8"/>
  <c r="V49" i="8"/>
  <c r="Y49" i="8" s="1"/>
  <c r="Z49" i="8" s="1"/>
  <c r="AA49" i="8" s="1"/>
  <c r="AB49" i="8" s="1"/>
  <c r="X20" i="8" s="1"/>
  <c r="G25" i="8"/>
  <c r="V50" i="8"/>
  <c r="Y50" i="8"/>
  <c r="Z50" i="8" s="1"/>
  <c r="AA50" i="8"/>
  <c r="AB50" i="8" s="1"/>
  <c r="X21" i="8" s="1"/>
  <c r="V46" i="8"/>
  <c r="Y46" i="8"/>
  <c r="Z46" i="8" s="1"/>
  <c r="AA46" i="8"/>
  <c r="AB46" i="8" s="1"/>
  <c r="X17" i="8" s="1"/>
  <c r="V43" i="8"/>
  <c r="Y43" i="8"/>
  <c r="Z43" i="8" s="1"/>
  <c r="AA43" i="8"/>
  <c r="AB43" i="8" s="1"/>
  <c r="X14" i="8" s="1"/>
  <c r="Y51" i="8"/>
  <c r="Z51" i="8" s="1"/>
  <c r="AA51" i="8" s="1"/>
  <c r="AB51" i="8" s="1"/>
  <c r="X22" i="8" s="1"/>
  <c r="Y48" i="8"/>
  <c r="Z48" i="8"/>
  <c r="AA48" i="8" s="1"/>
  <c r="AB48" i="8" s="1"/>
  <c r="X19" i="8" s="1"/>
  <c r="W20" i="8"/>
  <c r="V24" i="8"/>
  <c r="W14" i="8"/>
  <c r="AA46" i="12"/>
  <c r="AB46" i="12" s="1"/>
  <c r="X15" i="12"/>
  <c r="AA45" i="12"/>
  <c r="AB45" i="12" s="1"/>
  <c r="X14" i="12"/>
  <c r="W52" i="12"/>
  <c r="V53" i="12"/>
  <c r="V52" i="12"/>
  <c r="Y52" i="12" s="1"/>
  <c r="Z52" i="12"/>
  <c r="AA52" i="12" s="1"/>
  <c r="AB52" i="12" s="1"/>
  <c r="X21" i="12" s="1"/>
  <c r="V49" i="12"/>
  <c r="Y49" i="12" s="1"/>
  <c r="Z49" i="12" s="1"/>
  <c r="AA49" i="12" s="1"/>
  <c r="AB49" i="12" s="1"/>
  <c r="X18" i="12" s="1"/>
  <c r="V47" i="12"/>
  <c r="Y47" i="12" s="1"/>
  <c r="Z47" i="12"/>
  <c r="AA47" i="12" s="1"/>
  <c r="AB47" i="12" s="1"/>
  <c r="X16" i="12" s="1"/>
  <c r="V50" i="12"/>
  <c r="Y50" i="12" s="1"/>
  <c r="Z50" i="12" s="1"/>
  <c r="AA50" i="12" s="1"/>
  <c r="AB50" i="12" s="1"/>
  <c r="X19" i="12" s="1"/>
  <c r="L26" i="5"/>
  <c r="Y44" i="5"/>
  <c r="Z44" i="5" s="1"/>
  <c r="AA44" i="5" s="1"/>
  <c r="AB44" i="5" s="1"/>
  <c r="X18" i="5" s="1"/>
  <c r="K26" i="5"/>
  <c r="J26" i="5"/>
  <c r="I26" i="5"/>
  <c r="H26" i="5"/>
  <c r="Y42" i="5"/>
  <c r="Z42" i="5"/>
  <c r="AA42" i="5" s="1"/>
  <c r="AB42" i="5" s="1"/>
  <c r="X16" i="5" s="1"/>
  <c r="Z38" i="5"/>
  <c r="AA38" i="5" s="1"/>
  <c r="AB38" i="5" s="1"/>
  <c r="X12" i="5" s="1"/>
  <c r="Y41" i="5"/>
  <c r="Z41" i="5" s="1"/>
  <c r="AA41" i="5" s="1"/>
  <c r="AB41" i="5" s="1"/>
  <c r="X15" i="5" s="1"/>
  <c r="G26" i="5"/>
  <c r="X24" i="5"/>
  <c r="Y40" i="5"/>
  <c r="Z40" i="5"/>
  <c r="AA40" i="5" s="1"/>
  <c r="AB40" i="5" s="1"/>
  <c r="X14" i="5" s="1"/>
  <c r="Z46" i="5"/>
  <c r="AA46" i="5" s="1"/>
  <c r="AB46" i="5" s="1"/>
  <c r="X20" i="5" s="1"/>
  <c r="C26" i="5"/>
  <c r="V25" i="5"/>
  <c r="P8" i="5"/>
  <c r="A4" i="5" s="1"/>
  <c r="G6" i="3" s="1"/>
  <c r="V43" i="10"/>
  <c r="V38" i="10"/>
  <c r="W19" i="10"/>
  <c r="V36" i="10"/>
  <c r="Y43" i="10"/>
  <c r="Z43" i="10" s="1"/>
  <c r="AA43" i="10" s="1"/>
  <c r="AB43" i="10" s="1"/>
  <c r="X19" i="10" s="1"/>
  <c r="W42" i="10"/>
  <c r="Y42" i="10"/>
  <c r="Z42" i="10" s="1"/>
  <c r="AA42" i="10" s="1"/>
  <c r="AB42" i="10" s="1"/>
  <c r="X18" i="10" s="1"/>
  <c r="W41" i="10"/>
  <c r="Y41" i="10"/>
  <c r="Z41" i="10" s="1"/>
  <c r="AA41" i="10" s="1"/>
  <c r="AB41" i="10" s="1"/>
  <c r="X17" i="10" s="1"/>
  <c r="Y40" i="10"/>
  <c r="Z40" i="10"/>
  <c r="AA40" i="10" s="1"/>
  <c r="AB40" i="10" s="1"/>
  <c r="X16" i="10" s="1"/>
  <c r="V24" i="10"/>
  <c r="P8" i="10"/>
  <c r="A4" i="10" s="1"/>
  <c r="G8" i="3" s="1"/>
  <c r="Z45" i="10"/>
  <c r="AA45" i="10" s="1"/>
  <c r="AB45" i="10" s="1"/>
  <c r="X21" i="10" s="1"/>
  <c r="Y39" i="10"/>
  <c r="V25" i="10"/>
  <c r="Y47" i="10"/>
  <c r="W46" i="10"/>
  <c r="W24" i="1"/>
  <c r="W15" i="1"/>
  <c r="W45" i="1"/>
  <c r="W22" i="1"/>
  <c r="W53" i="1"/>
  <c r="W23" i="1"/>
  <c r="P8" i="8"/>
  <c r="A4" i="8" s="1"/>
  <c r="G7" i="3" s="1"/>
  <c r="P3" i="8"/>
  <c r="P3" i="5"/>
  <c r="P3" i="10"/>
  <c r="P5" i="10"/>
  <c r="P6" i="10" s="1"/>
  <c r="P7" i="10"/>
  <c r="P9" i="10" s="1"/>
  <c r="A5" i="10" s="1"/>
  <c r="H8" i="3" s="1"/>
  <c r="Z47" i="10"/>
  <c r="AA47" i="10" s="1"/>
  <c r="AB47" i="10" s="1"/>
  <c r="X23" i="10" s="1"/>
  <c r="Z39" i="10"/>
  <c r="AA39" i="10" s="1"/>
  <c r="AB39" i="10" s="1"/>
  <c r="X15" i="10" s="1"/>
  <c r="Z44" i="8"/>
  <c r="AA44" i="8" s="1"/>
  <c r="AB44" i="8" s="1"/>
  <c r="X15" i="8" s="1"/>
  <c r="Z42" i="8"/>
  <c r="AA42" i="8" s="1"/>
  <c r="AB42" i="8" s="1"/>
  <c r="X13" i="8" s="1"/>
  <c r="Z49" i="5"/>
  <c r="AA49" i="5" s="1"/>
  <c r="AB49" i="5" s="1"/>
  <c r="X23" i="5" s="1"/>
  <c r="V53" i="20"/>
  <c r="Y53" i="20"/>
  <c r="Z53" i="20" s="1"/>
  <c r="AA53" i="20"/>
  <c r="AB53" i="20" s="1"/>
  <c r="X26" i="20" s="1"/>
  <c r="V52" i="20"/>
  <c r="Y52" i="20"/>
  <c r="Z52" i="20" s="1"/>
  <c r="AA52" i="20"/>
  <c r="AB52" i="20" s="1"/>
  <c r="X25" i="20" s="1"/>
  <c r="V51" i="20"/>
  <c r="Y51" i="20"/>
  <c r="Z51" i="20" s="1"/>
  <c r="AA51" i="20"/>
  <c r="AB51" i="20" s="1"/>
  <c r="X24" i="20" s="1"/>
  <c r="V48" i="20"/>
  <c r="Y48" i="20"/>
  <c r="Z48" i="20" s="1"/>
  <c r="AA48" i="20"/>
  <c r="AB48" i="20" s="1"/>
  <c r="X21" i="20" s="1"/>
  <c r="V47" i="20"/>
  <c r="Y47" i="20"/>
  <c r="Z47" i="20" s="1"/>
  <c r="AA47" i="20"/>
  <c r="AB47" i="20" s="1"/>
  <c r="X20" i="20" s="1"/>
  <c r="V45" i="20"/>
  <c r="Y45" i="20"/>
  <c r="Z45" i="20" s="1"/>
  <c r="AA45" i="20"/>
  <c r="AB45" i="20" s="1"/>
  <c r="X18" i="20" s="1"/>
  <c r="V44" i="20"/>
  <c r="W51" i="12"/>
  <c r="Y51" i="12"/>
  <c r="Z51" i="12" s="1"/>
  <c r="AA51" i="12" s="1"/>
  <c r="AB51" i="12" s="1"/>
  <c r="X20" i="12" s="1"/>
  <c r="P25" i="8"/>
  <c r="V25" i="8"/>
  <c r="P5" i="8" s="1"/>
  <c r="P6" i="8" s="1"/>
  <c r="P7" i="8" s="1"/>
  <c r="P9" i="8" s="1"/>
  <c r="A5" i="8" s="1"/>
  <c r="H7" i="3" s="1"/>
  <c r="U26" i="5"/>
  <c r="T26" i="5"/>
  <c r="S26" i="5"/>
  <c r="R26" i="5"/>
  <c r="Q26" i="5"/>
  <c r="P26" i="5"/>
  <c r="M26" i="5"/>
  <c r="X58" i="1"/>
  <c r="V28" i="1" l="1"/>
  <c r="Z54" i="1"/>
  <c r="AA54" i="1" s="1"/>
  <c r="AB54" i="1" s="1"/>
  <c r="X22" i="1" s="1"/>
  <c r="V26" i="5"/>
  <c r="P5" i="5" s="1"/>
  <c r="P6" i="5" s="1"/>
  <c r="P7" i="5" s="1"/>
  <c r="P9" i="5" s="1"/>
  <c r="A5" i="5" s="1"/>
  <c r="H6" i="3" s="1"/>
  <c r="Y46" i="20"/>
  <c r="Z46" i="20" s="1"/>
  <c r="AA46" i="20" s="1"/>
  <c r="AB46" i="20" s="1"/>
  <c r="X19" i="20" s="1"/>
  <c r="W50" i="1"/>
  <c r="W18" i="1"/>
  <c r="W48" i="1"/>
  <c r="W16" i="1"/>
  <c r="W12" i="1"/>
  <c r="W44" i="1"/>
  <c r="Y44" i="1" s="1"/>
  <c r="Z44" i="1" s="1"/>
  <c r="AA44" i="1" s="1"/>
  <c r="AB44" i="1" s="1"/>
  <c r="X12" i="1" s="1"/>
  <c r="W14" i="1"/>
  <c r="V27" i="1"/>
  <c r="Y53" i="1"/>
  <c r="Z53" i="1" s="1"/>
  <c r="AA53" i="1" s="1"/>
  <c r="AB53" i="1" s="1"/>
  <c r="X21" i="1" s="1"/>
  <c r="B28" i="20"/>
  <c r="V28" i="20" s="1"/>
  <c r="V27" i="20"/>
  <c r="W50" i="20"/>
  <c r="W23" i="20"/>
  <c r="W46" i="20"/>
  <c r="W19" i="20"/>
  <c r="W17" i="20"/>
  <c r="W44" i="20"/>
  <c r="Y44" i="20" s="1"/>
  <c r="Z44" i="20" s="1"/>
  <c r="AA44" i="20" s="1"/>
  <c r="AB44" i="20" s="1"/>
  <c r="X17" i="20" s="1"/>
  <c r="V44" i="12"/>
  <c r="Y44" i="12" s="1"/>
  <c r="Z44" i="12" s="1"/>
  <c r="AA44" i="12" s="1"/>
  <c r="AB44" i="12" s="1"/>
  <c r="X13" i="12" s="1"/>
  <c r="V43" i="12"/>
  <c r="Y43" i="12" s="1"/>
  <c r="Z43" i="12" s="1"/>
  <c r="AA43" i="12" s="1"/>
  <c r="AB43" i="12" s="1"/>
  <c r="X12" i="12" s="1"/>
  <c r="C26" i="12"/>
  <c r="V26" i="12" s="1"/>
  <c r="V25" i="12"/>
  <c r="W22" i="12"/>
  <c r="W53" i="12"/>
  <c r="Y53" i="12" s="1"/>
  <c r="Z53" i="12" s="1"/>
  <c r="AA53" i="12" s="1"/>
  <c r="AB53" i="12" s="1"/>
  <c r="X22" i="12" s="1"/>
  <c r="Y46" i="1"/>
  <c r="Z46" i="1" s="1"/>
  <c r="AA46" i="1" s="1"/>
  <c r="AB46" i="1" s="1"/>
  <c r="X14" i="1" s="1"/>
  <c r="V50" i="20"/>
  <c r="Y50" i="20" s="1"/>
  <c r="Z50" i="20" s="1"/>
  <c r="AA50" i="20" s="1"/>
  <c r="AB50" i="20" s="1"/>
  <c r="X23" i="20" s="1"/>
  <c r="V41" i="20"/>
  <c r="Y41" i="20" s="1"/>
  <c r="Z41" i="20" s="1"/>
  <c r="AA41" i="20" s="1"/>
  <c r="AB41" i="20" s="1"/>
  <c r="X14" i="20" s="1"/>
  <c r="V39" i="20"/>
  <c r="Y39" i="20" s="1"/>
  <c r="Z39" i="20" s="1"/>
  <c r="AA39" i="20" s="1"/>
  <c r="AB39" i="20" s="1"/>
  <c r="X12" i="20" s="1"/>
  <c r="W44" i="10"/>
  <c r="Y44" i="10" s="1"/>
  <c r="Z44" i="10" s="1"/>
  <c r="AA44" i="10" s="1"/>
  <c r="AB44" i="10" s="1"/>
  <c r="X20" i="10" s="1"/>
  <c r="W20" i="10"/>
  <c r="W38" i="10"/>
  <c r="Y38" i="10" s="1"/>
  <c r="Z38" i="10" s="1"/>
  <c r="AA38" i="10" s="1"/>
  <c r="AB38" i="10" s="1"/>
  <c r="X14" i="10" s="1"/>
  <c r="W14" i="10"/>
  <c r="W36" i="10"/>
  <c r="Y36" i="10" s="1"/>
  <c r="Z36" i="10" s="1"/>
  <c r="AA36" i="10" s="1"/>
  <c r="AB36" i="10" s="1"/>
  <c r="X12" i="10" s="1"/>
  <c r="W12" i="10"/>
  <c r="V52" i="8"/>
  <c r="Y52" i="8" s="1"/>
  <c r="Z52" i="8" s="1"/>
  <c r="AA52" i="8" s="1"/>
  <c r="AB52" i="8" s="1"/>
  <c r="X23" i="8" s="1"/>
  <c r="W47" i="8"/>
  <c r="Y47" i="8" s="1"/>
  <c r="Z47" i="8" s="1"/>
  <c r="AA47" i="8" s="1"/>
  <c r="AB47" i="8" s="1"/>
  <c r="X18" i="8" s="1"/>
  <c r="W18" i="8"/>
  <c r="X57" i="1"/>
  <c r="Y57" i="1"/>
  <c r="V58" i="1"/>
  <c r="Y58" i="1" s="1"/>
  <c r="Z58" i="1" s="1"/>
  <c r="AA58" i="1" s="1"/>
  <c r="AB58" i="1" s="1"/>
  <c r="X26" i="1" s="1"/>
  <c r="V56" i="1"/>
  <c r="Y56" i="1" s="1"/>
  <c r="Z56" i="1" s="1"/>
  <c r="AA56" i="1" s="1"/>
  <c r="AB56" i="1" s="1"/>
  <c r="X24" i="1" s="1"/>
  <c r="V55" i="1"/>
  <c r="Y55" i="1" s="1"/>
  <c r="Z55" i="1" s="1"/>
  <c r="AA55" i="1" s="1"/>
  <c r="AB55" i="1" s="1"/>
  <c r="X23" i="1" s="1"/>
  <c r="V52" i="1"/>
  <c r="Y52" i="1" s="1"/>
  <c r="Z52" i="1" s="1"/>
  <c r="AA52" i="1" s="1"/>
  <c r="AB52" i="1" s="1"/>
  <c r="X20" i="1" s="1"/>
  <c r="V51" i="1"/>
  <c r="Y51" i="1" s="1"/>
  <c r="Z51" i="1" s="1"/>
  <c r="AA51" i="1" s="1"/>
  <c r="AB51" i="1" s="1"/>
  <c r="X19" i="1" s="1"/>
  <c r="V50" i="1"/>
  <c r="V49" i="1"/>
  <c r="Y49" i="1" s="1"/>
  <c r="Z49" i="1" s="1"/>
  <c r="AA49" i="1" s="1"/>
  <c r="AB49" i="1" s="1"/>
  <c r="X17" i="1" s="1"/>
  <c r="V48" i="1"/>
  <c r="V45" i="1"/>
  <c r="Y45" i="1" s="1"/>
  <c r="Z45" i="1" s="1"/>
  <c r="AA45" i="1" s="1"/>
  <c r="AB45" i="1" s="1"/>
  <c r="X13" i="1" s="1"/>
  <c r="V55" i="12"/>
  <c r="Y55" i="12" s="1"/>
  <c r="Z55" i="12" s="1"/>
  <c r="AA55" i="12" s="1"/>
  <c r="AB55" i="12" s="1"/>
  <c r="X24" i="12" s="1"/>
  <c r="W26" i="1" l="1"/>
  <c r="Y48" i="1"/>
  <c r="Z48" i="1" s="1"/>
  <c r="AA48" i="1" s="1"/>
  <c r="AB48" i="1" s="1"/>
  <c r="X16" i="1" s="1"/>
  <c r="Y50" i="1"/>
  <c r="Z50" i="1" s="1"/>
  <c r="AA50" i="1" s="1"/>
  <c r="AB50" i="1" s="1"/>
  <c r="X18" i="1" s="1"/>
  <c r="P8" i="1"/>
  <c r="A4" i="1" s="1"/>
  <c r="G5" i="3" s="1"/>
  <c r="G12" i="3" s="1"/>
  <c r="P3" i="1"/>
  <c r="P5" i="1" s="1"/>
  <c r="P6" i="1" s="1"/>
  <c r="P7" i="1" s="1"/>
  <c r="P9" i="1" s="1"/>
  <c r="A5" i="1" s="1"/>
  <c r="H5" i="3" s="1"/>
  <c r="P8" i="12"/>
  <c r="A4" i="12" s="1"/>
  <c r="G9" i="3" s="1"/>
  <c r="P3" i="12"/>
  <c r="P8" i="20"/>
  <c r="A4" i="20" s="1"/>
  <c r="G10" i="3" s="1"/>
  <c r="P3" i="20"/>
  <c r="W25" i="1"/>
  <c r="Z57" i="1"/>
  <c r="AA57" i="1" s="1"/>
  <c r="AB57" i="1" s="1"/>
  <c r="X25" i="1" s="1"/>
  <c r="P5" i="12"/>
  <c r="P6" i="12" s="1"/>
  <c r="P7" i="12" s="1"/>
  <c r="P9" i="12" s="1"/>
  <c r="A5" i="12" s="1"/>
  <c r="H9" i="3" s="1"/>
  <c r="P5" i="20"/>
  <c r="P6" i="20" s="1"/>
  <c r="P7" i="20" s="1"/>
  <c r="P9" i="20" s="1"/>
  <c r="A5" i="20" s="1"/>
  <c r="H10" i="3" s="1"/>
  <c r="H12" i="3" l="1"/>
</calcChain>
</file>

<file path=xl/sharedStrings.xml><?xml version="1.0" encoding="utf-8"?>
<sst xmlns="http://schemas.openxmlformats.org/spreadsheetml/2006/main" count="665" uniqueCount="214">
  <si>
    <t>Fiche de calcul pour une note distincte de capacite (x2)</t>
  </si>
  <si>
    <t>Element</t>
  </si>
  <si>
    <t>Feuille de Calcul pour la note distincte capacite (x2)</t>
  </si>
  <si>
    <t>brute</t>
  </si>
  <si>
    <t>Partenariat</t>
  </si>
  <si>
    <t>Note brute Cap</t>
  </si>
  <si>
    <t>Notes Standardises Par Element</t>
  </si>
  <si>
    <t>Durabilite (Perennisation) des Acquis du Programme</t>
  </si>
  <si>
    <t>4. Durabilite (Perennisation) des Acquis du Programme</t>
  </si>
  <si>
    <t>z*</t>
  </si>
  <si>
    <t>y*</t>
  </si>
  <si>
    <t>n*</t>
  </si>
  <si>
    <t>p</t>
  </si>
  <si>
    <t>SD</t>
  </si>
  <si>
    <t>q</t>
  </si>
  <si>
    <t>r</t>
  </si>
  <si>
    <t>s</t>
  </si>
  <si>
    <t>t</t>
  </si>
  <si>
    <t>Respondents</t>
  </si>
  <si>
    <t>sd</t>
  </si>
  <si>
    <t>raw</t>
  </si>
  <si>
    <t>Fiche de Calcul pour la note distincte capacite (x2)</t>
  </si>
  <si>
    <t>Som x2</t>
  </si>
  <si>
    <t>Fiche de Calcul pour la note distincte capacit (x2)</t>
  </si>
  <si>
    <t>Som</t>
  </si>
  <si>
    <t>Gouvernance et Gestion Strategique</t>
  </si>
  <si>
    <t xml:space="preserve">Note Brute de Cons </t>
  </si>
  <si>
    <t>Note Brute de Cap</t>
  </si>
  <si>
    <t>Apercu des Notes EPC</t>
  </si>
  <si>
    <t>Graduee</t>
  </si>
  <si>
    <t>Standardisee</t>
  </si>
  <si>
    <t>Note Cap</t>
  </si>
  <si>
    <t>Note Cons</t>
  </si>
  <si>
    <t>Nbre. De Sondes:</t>
  </si>
  <si>
    <t>Interpretation de la note Standardise:</t>
  </si>
  <si>
    <t>1. Gestion des Ressources Humaines</t>
  </si>
  <si>
    <t>2. Gestion des Ressources Financieres</t>
  </si>
  <si>
    <t>3. Participation Equitable</t>
  </si>
  <si>
    <t>5. Partenariat</t>
  </si>
  <si>
    <t>Moyenne</t>
  </si>
  <si>
    <t>loin en dessous de la moyenne / Niveau accceptable</t>
  </si>
  <si>
    <t>En dessous de la moyenne / Niveau acceptable</t>
  </si>
  <si>
    <t>Moyen / niveau acceptable</t>
  </si>
  <si>
    <t>Au dessus de la moyenne / niveau acceptable</t>
  </si>
  <si>
    <t>Gestion des Ressources Humaines</t>
  </si>
  <si>
    <t>Gestion des Ressources Financieres</t>
  </si>
  <si>
    <t xml:space="preserve">Note Capacite </t>
  </si>
  <si>
    <t>Note Consensus</t>
  </si>
  <si>
    <t>Note Brute Cap</t>
  </si>
  <si>
    <t>Note brute Cons</t>
  </si>
  <si>
    <t>Bien au dessus de la moyenne / Niveau acceptable</t>
  </si>
  <si>
    <t>Note Standardisee</t>
  </si>
  <si>
    <t>Note Graduee</t>
  </si>
  <si>
    <t>Moyens de la Cohorte</t>
  </si>
  <si>
    <t xml:space="preserve">Note Cap </t>
  </si>
  <si>
    <t>Note de Capacite</t>
  </si>
  <si>
    <t>Note de Consensus</t>
  </si>
  <si>
    <t>(Calculs)</t>
  </si>
  <si>
    <t>Nbre de Sondes</t>
  </si>
  <si>
    <t>Points Max</t>
  </si>
  <si>
    <t>Nbre de Questions</t>
  </si>
  <si>
    <t>Note brute de Cap</t>
  </si>
  <si>
    <t>Note brute de Consensus</t>
  </si>
  <si>
    <t>Sondes</t>
  </si>
  <si>
    <t>Elements</t>
  </si>
  <si>
    <t>Somme</t>
  </si>
  <si>
    <t>Interpretation de la Note Standardisee:</t>
  </si>
  <si>
    <t>Loin en dessous de la moyenne / niveau acceptable</t>
  </si>
  <si>
    <t>Moyen  / niveau acceptable</t>
  </si>
  <si>
    <t>Loin au-dessus de la moyenne  / niveau acceptable</t>
  </si>
  <si>
    <t>Note Standardisee Par Element</t>
  </si>
  <si>
    <t>GRH</t>
  </si>
  <si>
    <t>GRF</t>
  </si>
  <si>
    <t>PartEq</t>
  </si>
  <si>
    <t>Dur</t>
  </si>
  <si>
    <t>Partn</t>
  </si>
  <si>
    <t>Gouv</t>
  </si>
  <si>
    <t>Moyen</t>
  </si>
  <si>
    <t>Participation Equitable</t>
  </si>
  <si>
    <t>Note Capacite</t>
  </si>
  <si>
    <t xml:space="preserve">Points Max </t>
  </si>
  <si>
    <t>Note Brute Cons</t>
  </si>
  <si>
    <t>Notes Standardisees Par Element</t>
  </si>
  <si>
    <t xml:space="preserve">  0 - 22</t>
  </si>
  <si>
    <t>23 - 32</t>
  </si>
  <si>
    <t>33 - 39</t>
  </si>
  <si>
    <t>40 - 45</t>
  </si>
  <si>
    <t>46 - 50</t>
  </si>
  <si>
    <t>51 - 55</t>
  </si>
  <si>
    <t>56 - 59</t>
  </si>
  <si>
    <t>60 - 63</t>
  </si>
  <si>
    <t>64 - 67</t>
  </si>
  <si>
    <t>68 - 71</t>
  </si>
  <si>
    <t>72 - 74</t>
  </si>
  <si>
    <t>75 - 78</t>
  </si>
  <si>
    <t>79 - 81</t>
  </si>
  <si>
    <t>82 - 84</t>
  </si>
  <si>
    <t>85 - 87</t>
  </si>
  <si>
    <t>88 - 89</t>
  </si>
  <si>
    <t>90- 92</t>
  </si>
  <si>
    <t>93 - 95</t>
  </si>
  <si>
    <t>96 - 98</t>
  </si>
  <si>
    <t>99 - 100</t>
  </si>
  <si>
    <t>20-39</t>
  </si>
  <si>
    <t>40-59</t>
  </si>
  <si>
    <t>60-70</t>
  </si>
  <si>
    <t>71-80</t>
  </si>
  <si>
    <t>81-100</t>
  </si>
  <si>
    <t xml:space="preserve">Date: </t>
  </si>
  <si>
    <t>Item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</si>
  <si>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</si>
  <si>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</si>
  <si>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</si>
  <si>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</si>
  <si>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</si>
  <si>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</si>
  <si>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</si>
  <si>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</si>
  <si>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</si>
  <si>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</si>
  <si>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</si>
  <si>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</si>
  <si>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</si>
  <si>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</si>
  <si>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</si>
  <si>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Sum</t>
  </si>
  <si>
    <t>x</t>
  </si>
  <si>
    <t>x2</t>
  </si>
  <si>
    <t>1. Recrutement transparent</t>
  </si>
  <si>
    <t>2. Transdisciplinarité</t>
  </si>
  <si>
    <t>3. Egalité de genre</t>
  </si>
  <si>
    <t>4. Parité H/F</t>
  </si>
  <si>
    <t>5. Diversité du personnel</t>
  </si>
  <si>
    <t>6. Profil du personnel</t>
  </si>
  <si>
    <t>7. Compétences du personnel</t>
  </si>
  <si>
    <t>8. Effectif du personnel</t>
  </si>
  <si>
    <t>9. Formations régulières</t>
  </si>
  <si>
    <t>10. Formations adaptées</t>
  </si>
  <si>
    <t>11. Formation selon priorités</t>
  </si>
  <si>
    <t>12. Motivation</t>
  </si>
  <si>
    <t>13. Gestion des conflits</t>
  </si>
  <si>
    <t>14. Supervision</t>
  </si>
  <si>
    <t>15. Evaluation</t>
  </si>
  <si>
    <t>1. Procédures régulières</t>
  </si>
  <si>
    <t>2. Budgétisation selon priorités</t>
  </si>
  <si>
    <t>3. Prévisions financières</t>
  </si>
  <si>
    <t>4. Dépenses selon revenus</t>
  </si>
  <si>
    <t>5. Charges fixes</t>
  </si>
  <si>
    <t>6. Décaissements périodiques</t>
  </si>
  <si>
    <t>7. Appui de l’Etat</t>
  </si>
  <si>
    <t>8. Appui des Partenaires</t>
  </si>
  <si>
    <t>9. Ressources pour activités</t>
  </si>
  <si>
    <t>10. Ressources pour  infrastructures</t>
  </si>
  <si>
    <t>11. Ressources pour  communication</t>
  </si>
  <si>
    <t>12. Ressources internes</t>
  </si>
  <si>
    <t>13. Ressources externes</t>
  </si>
  <si>
    <t>1. Evaluation des besoins</t>
  </si>
  <si>
    <t>2. Conception des projets</t>
  </si>
  <si>
    <t>3. Suivi-évaluation des projets</t>
  </si>
  <si>
    <t>4. Accès aux activités</t>
  </si>
  <si>
    <t>5. Accès aux bénéfices</t>
  </si>
  <si>
    <t>6. Equité dans la conception</t>
  </si>
  <si>
    <t>7. Equité dans la mise en œuvre</t>
  </si>
  <si>
    <t>8. Examen des besoins</t>
  </si>
  <si>
    <t>9. Adaptation des activités</t>
  </si>
  <si>
    <t>10. Leadership local</t>
  </si>
  <si>
    <t>11. Capacités locales</t>
  </si>
  <si>
    <t>12. Implication des décideurs</t>
  </si>
  <si>
    <t>1. D. économique pour conception</t>
  </si>
  <si>
    <t>2. D. politique pour conception</t>
  </si>
  <si>
    <t>3. D. institutionnelle pour conception</t>
  </si>
  <si>
    <t>4. D. sociale pour conception</t>
  </si>
  <si>
    <t>5. D. environnementale pour exécution</t>
  </si>
  <si>
    <t>6. D. économique exécution</t>
  </si>
  <si>
    <t>7. D. institutionnelle pour exécution</t>
  </si>
  <si>
    <t>8. D. sociale pour exécution</t>
  </si>
  <si>
    <t>9. D. environnementale pour S&amp;E</t>
  </si>
  <si>
    <t>10. D. économique pour S&amp;E</t>
  </si>
  <si>
    <t>11. D. institutionnelle pour S&amp;E</t>
  </si>
  <si>
    <t>12. Appui technique</t>
  </si>
  <si>
    <t>1. Liens avec les politiques</t>
  </si>
  <si>
    <t>2. Liens avec Secteur privé</t>
  </si>
  <si>
    <t>3. Liens avec ONG</t>
  </si>
  <si>
    <t>4. Liens avec autres CL</t>
  </si>
  <si>
    <t>5. Partenariats avec Organisations</t>
  </si>
  <si>
    <t>6. Suivi de l’efficacité</t>
  </si>
  <si>
    <t>7. Avantages financiers</t>
  </si>
  <si>
    <t>8. Compétences techniques</t>
  </si>
  <si>
    <t>9. Relations et réseaux nouveaux</t>
  </si>
  <si>
    <t>10. Informations partagées</t>
  </si>
  <si>
    <t>11. Confiance et coopération</t>
  </si>
  <si>
    <t>12. Objectifs partagés</t>
  </si>
  <si>
    <t>13. Participation à la coopération</t>
  </si>
  <si>
    <t>1. Rapports aux bailleurs</t>
  </si>
  <si>
    <t>2. Mobilisation de fonds</t>
  </si>
  <si>
    <t>3. Relations publiques</t>
  </si>
  <si>
    <t>4. Plaidoyer</t>
  </si>
  <si>
    <t>5. Contrôle financier</t>
  </si>
  <si>
    <t>6. Définition de politiques</t>
  </si>
  <si>
    <t>7. Orientations stratégiques</t>
  </si>
  <si>
    <t>8. Représentation selon bénéficiaires</t>
  </si>
  <si>
    <t>9. Décisions du Conseil</t>
  </si>
  <si>
    <t>10. Décisions du personnel</t>
  </si>
  <si>
    <t>11. Personnel d’appoint</t>
  </si>
  <si>
    <t>12. Environnement externe</t>
  </si>
  <si>
    <t>13. Objectifs stratégiques</t>
  </si>
  <si>
    <t>14. Initiatives conformes</t>
  </si>
  <si>
    <t>15. Suivi régulier</t>
  </si>
  <si>
    <t>6. Gouvernance / Gestion Strategique</t>
  </si>
  <si>
    <t>Acteurs territoriaux de Louga (Elus et SDE)</t>
  </si>
  <si>
    <t>Saint-Louis</t>
  </si>
  <si>
    <t>Matam</t>
  </si>
  <si>
    <t>Louga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</si>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</sst>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7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7"/>
      <name val="Arial"/>
      <family val="2"/>
    </font>
    <font>
      <sz val="4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0" xfId="0" applyFont="1" applyBorder="1"/>
    <xf numFmtId="0" fontId="0" fillId="0" borderId="0" xfId="0" applyBorder="1"/>
    <xf numFmtId="0" fontId="0" fillId="0" borderId="4" xfId="0" applyBorder="1"/>
    <xf numFmtId="0" fontId="2" fillId="0" borderId="0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6" fillId="0" borderId="8" xfId="0" applyFont="1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6" fillId="0" borderId="10" xfId="0" applyFont="1" applyBorder="1"/>
    <xf numFmtId="0" fontId="0" fillId="0" borderId="10" xfId="0" applyBorder="1"/>
    <xf numFmtId="0" fontId="0" fillId="0" borderId="11" xfId="0" applyBorder="1"/>
    <xf numFmtId="0" fontId="5" fillId="0" borderId="0" xfId="0" applyFont="1" applyBorder="1"/>
    <xf numFmtId="2" fontId="2" fillId="0" borderId="12" xfId="0" applyNumberFormat="1" applyFont="1" applyBorder="1"/>
    <xf numFmtId="2" fontId="2" fillId="0" borderId="13" xfId="0" applyNumberFormat="1" applyFont="1" applyBorder="1"/>
    <xf numFmtId="2" fontId="0" fillId="0" borderId="0" xfId="0" applyNumberFormat="1"/>
    <xf numFmtId="0" fontId="2" fillId="0" borderId="14" xfId="0" applyFont="1" applyBorder="1"/>
    <xf numFmtId="0" fontId="2" fillId="0" borderId="3" xfId="0" applyFont="1" applyBorder="1"/>
    <xf numFmtId="0" fontId="3" fillId="0" borderId="0" xfId="0" applyFont="1" applyAlignment="1">
      <alignment horizontal="center"/>
    </xf>
    <xf numFmtId="1" fontId="2" fillId="0" borderId="0" xfId="0" applyNumberFormat="1" applyFont="1" applyBorder="1"/>
    <xf numFmtId="1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1" xfId="0" applyFont="1" applyBorder="1"/>
    <xf numFmtId="1" fontId="2" fillId="0" borderId="3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6" xfId="0" applyFont="1" applyBorder="1"/>
    <xf numFmtId="0" fontId="2" fillId="0" borderId="0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3" fillId="0" borderId="3" xfId="0" applyFont="1" applyBorder="1"/>
    <xf numFmtId="2" fontId="0" fillId="0" borderId="0" xfId="0" applyNumberFormat="1" applyBorder="1"/>
    <xf numFmtId="0" fontId="0" fillId="0" borderId="7" xfId="0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4" xfId="0" applyFont="1" applyFill="1" applyBorder="1"/>
    <xf numFmtId="0" fontId="0" fillId="2" borderId="5" xfId="0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0" fillId="0" borderId="0" xfId="0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4" xfId="0" applyFont="1" applyBorder="1" applyAlignment="1"/>
    <xf numFmtId="1" fontId="2" fillId="0" borderId="4" xfId="0" applyNumberFormat="1" applyFont="1" applyBorder="1" applyAlignment="1">
      <alignment horizontal="center"/>
    </xf>
    <xf numFmtId="2" fontId="0" fillId="0" borderId="6" xfId="0" applyNumberFormat="1" applyBorder="1"/>
    <xf numFmtId="0" fontId="6" fillId="0" borderId="0" xfId="0" applyFont="1"/>
    <xf numFmtId="1" fontId="2" fillId="2" borderId="0" xfId="0" applyNumberFormat="1" applyFont="1" applyFill="1" applyAlignment="1">
      <alignment horizontal="center"/>
    </xf>
    <xf numFmtId="164" fontId="0" fillId="0" borderId="1" xfId="0" applyNumberFormat="1" applyBorder="1"/>
    <xf numFmtId="0" fontId="3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4" borderId="0" xfId="0" applyFill="1"/>
    <xf numFmtId="0" fontId="0" fillId="2" borderId="0" xfId="0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chartsheet" Target="chartsheets/sheet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9.xml"/><Relationship Id="rId10" Type="http://schemas.openxmlformats.org/officeDocument/2006/relationships/chartsheet" Target="chartsheets/sheet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GRILLE Graduee</a:t>
            </a:r>
          </a:p>
        </c:rich>
      </c:tx>
      <c:layout>
        <c:manualLayout>
          <c:xMode val="edge"/>
          <c:yMode val="edge"/>
          <c:x val="0.37529741086402202"/>
          <c:y val="1.38888888888888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47783633564086"/>
          <c:y val="0.13155539693515647"/>
          <c:w val="0.80522658711887052"/>
          <c:h val="0.7083352548156869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Aperçu!$E$5:$E$12</c:f>
              <c:numCache>
                <c:formatCode>General</c:formatCode>
                <c:ptCount val="8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60</c:v>
                </c:pt>
                <c:pt idx="7" formatCode="0">
                  <c:v>48.333333333333336</c:v>
                </c:pt>
              </c:numCache>
            </c:numRef>
          </c:xVal>
          <c:yVal>
            <c:numRef>
              <c:f>Aperçu!$F$5:$F$12</c:f>
              <c:numCache>
                <c:formatCode>General</c:formatCode>
                <c:ptCount val="8"/>
                <c:pt idx="0">
                  <c:v>45</c:v>
                </c:pt>
                <c:pt idx="1">
                  <c:v>55</c:v>
                </c:pt>
                <c:pt idx="2">
                  <c:v>45</c:v>
                </c:pt>
                <c:pt idx="3">
                  <c:v>40</c:v>
                </c:pt>
                <c:pt idx="4">
                  <c:v>60</c:v>
                </c:pt>
                <c:pt idx="5">
                  <c:v>60</c:v>
                </c:pt>
                <c:pt idx="7" formatCode="0">
                  <c:v>50.833333333333336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58112"/>
        <c:axId val="84060416"/>
      </c:scatterChart>
      <c:valAx>
        <c:axId val="8405811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Capacite</a:t>
                </a:r>
              </a:p>
            </c:rich>
          </c:tx>
          <c:layout>
            <c:manualLayout>
              <c:xMode val="edge"/>
              <c:yMode val="edge"/>
              <c:x val="0.44893161513955648"/>
              <c:y val="0.908335666375036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4060416"/>
        <c:crosses val="autoZero"/>
        <c:crossBetween val="midCat"/>
        <c:majorUnit val="50"/>
      </c:valAx>
      <c:valAx>
        <c:axId val="84060416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Consensus</a:t>
                </a:r>
              </a:p>
            </c:rich>
          </c:tx>
          <c:layout>
            <c:manualLayout>
              <c:xMode val="edge"/>
              <c:yMode val="edge"/>
              <c:x val="1.1876484560570071E-2"/>
              <c:y val="0.350000874890638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4058112"/>
        <c:crosses val="autoZero"/>
        <c:crossBetween val="midCat"/>
        <c:majorUnit val="5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Notes Standardisees</a:t>
            </a:r>
          </a:p>
        </c:rich>
      </c:tx>
      <c:layout>
        <c:manualLayout>
          <c:xMode val="edge"/>
          <c:yMode val="edge"/>
          <c:x val="0.27562662596690835"/>
          <c:y val="3.33333333333333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551277930219082"/>
          <c:y val="0.28055631661327207"/>
          <c:w val="0.74259763689408287"/>
          <c:h val="0.51666806821850098"/>
        </c:manualLayout>
      </c:layout>
      <c:barChart>
        <c:barDir val="col"/>
        <c:grouping val="clustered"/>
        <c:varyColors val="0"/>
        <c:ser>
          <c:idx val="0"/>
          <c:order val="0"/>
          <c:tx>
            <c:v>Capacity Score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Aperçu!$I$5:$I$12</c:f>
              <c:strCache>
                <c:ptCount val="8"/>
                <c:pt idx="0">
                  <c:v>GRH</c:v>
                </c:pt>
                <c:pt idx="1">
                  <c:v>GRF</c:v>
                </c:pt>
                <c:pt idx="2">
                  <c:v>PartEq</c:v>
                </c:pt>
                <c:pt idx="3">
                  <c:v>Dur</c:v>
                </c:pt>
                <c:pt idx="4">
                  <c:v>Partn</c:v>
                </c:pt>
                <c:pt idx="5">
                  <c:v>Gouv</c:v>
                </c:pt>
                <c:pt idx="7">
                  <c:v>Moyen</c:v>
                </c:pt>
              </c:strCache>
            </c:strRef>
          </c:cat>
          <c:val>
            <c:numRef>
              <c:f>Aperçu!$G$5:$G$12</c:f>
              <c:numCache>
                <c:formatCode>0.00</c:formatCode>
                <c:ptCount val="8"/>
                <c:pt idx="0">
                  <c:v>62.358974358974351</c:v>
                </c:pt>
                <c:pt idx="1">
                  <c:v>62.37762237762238</c:v>
                </c:pt>
                <c:pt idx="2">
                  <c:v>67.820512820512818</c:v>
                </c:pt>
                <c:pt idx="3">
                  <c:v>68.333333333333329</c:v>
                </c:pt>
                <c:pt idx="4">
                  <c:v>68.531468531468533</c:v>
                </c:pt>
                <c:pt idx="5">
                  <c:v>75.07692307692308</c:v>
                </c:pt>
                <c:pt idx="7">
                  <c:v>67.416472416472416</c:v>
                </c:pt>
              </c:numCache>
            </c:numRef>
          </c:val>
        </c:ser>
        <c:ser>
          <c:idx val="1"/>
          <c:order val="1"/>
          <c:tx>
            <c:v>Consensus Score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Aperçu!$I$5:$I$12</c:f>
              <c:strCache>
                <c:ptCount val="8"/>
                <c:pt idx="0">
                  <c:v>GRH</c:v>
                </c:pt>
                <c:pt idx="1">
                  <c:v>GRF</c:v>
                </c:pt>
                <c:pt idx="2">
                  <c:v>PartEq</c:v>
                </c:pt>
                <c:pt idx="3">
                  <c:v>Dur</c:v>
                </c:pt>
                <c:pt idx="4">
                  <c:v>Partn</c:v>
                </c:pt>
                <c:pt idx="5">
                  <c:v>Gouv</c:v>
                </c:pt>
                <c:pt idx="7">
                  <c:v>Moyen</c:v>
                </c:pt>
              </c:strCache>
            </c:strRef>
          </c:cat>
          <c:val>
            <c:numRef>
              <c:f>Aperçu!$H$5:$H$12</c:f>
              <c:numCache>
                <c:formatCode>0.00</c:formatCode>
                <c:ptCount val="8"/>
                <c:pt idx="0">
                  <c:v>66.084149718975056</c:v>
                </c:pt>
                <c:pt idx="1">
                  <c:v>74.121149552498835</c:v>
                </c:pt>
                <c:pt idx="2">
                  <c:v>65.331237735923182</c:v>
                </c:pt>
                <c:pt idx="3">
                  <c:v>61.887714627743769</c:v>
                </c:pt>
                <c:pt idx="4">
                  <c:v>74.934190973740016</c:v>
                </c:pt>
                <c:pt idx="5">
                  <c:v>76.141442431891051</c:v>
                </c:pt>
                <c:pt idx="7">
                  <c:v>69.749980840128657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194432"/>
        <c:axId val="86217088"/>
      </c:barChart>
      <c:catAx>
        <c:axId val="86194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Domaines de Competence</a:t>
                </a:r>
              </a:p>
            </c:rich>
          </c:tx>
          <c:layout>
            <c:manualLayout>
              <c:xMode val="edge"/>
              <c:yMode val="edge"/>
              <c:x val="0.3804104663128563"/>
              <c:y val="0.91111344415281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62170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6217088"/>
        <c:scaling>
          <c:orientation val="minMax"/>
          <c:max val="100"/>
          <c:min val="2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Note</a:t>
                </a:r>
              </a:p>
            </c:rich>
          </c:tx>
          <c:layout>
            <c:manualLayout>
              <c:xMode val="edge"/>
              <c:yMode val="edge"/>
              <c:x val="2.9612774174153339E-2"/>
              <c:y val="0.486112569262175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6194432"/>
        <c:crosses val="autoZero"/>
        <c:crossBetween val="between"/>
        <c:majorUnit val="20"/>
        <c:min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31662885751615849"/>
          <c:y val="0.15000029163021289"/>
          <c:w val="0.59908957415565345"/>
          <c:h val="7.222251385243511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Notes Standardisees</a:t>
            </a:r>
          </a:p>
        </c:rich>
      </c:tx>
      <c:layout>
        <c:manualLayout>
          <c:xMode val="edge"/>
          <c:yMode val="edge"/>
          <c:x val="0.31435105854058992"/>
          <c:y val="3.64238154441221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373603419529716"/>
          <c:y val="0.38410596026490068"/>
          <c:w val="0.64920345556691295"/>
          <c:h val="0.30132450331125826"/>
        </c:manualLayout>
      </c:layout>
      <c:barChart>
        <c:barDir val="col"/>
        <c:grouping val="clustered"/>
        <c:varyColors val="0"/>
        <c:ser>
          <c:idx val="1"/>
          <c:order val="0"/>
          <c:tx>
            <c:v>Capacity Score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 rtl="0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Aperçu!$C$39:$C$45</c:f>
              <c:strCache>
                <c:ptCount val="7"/>
                <c:pt idx="0">
                  <c:v>GRH</c:v>
                </c:pt>
                <c:pt idx="1">
                  <c:v>GRF</c:v>
                </c:pt>
                <c:pt idx="2">
                  <c:v>PartEq</c:v>
                </c:pt>
                <c:pt idx="3">
                  <c:v>Dur</c:v>
                </c:pt>
                <c:pt idx="4">
                  <c:v>Partn</c:v>
                </c:pt>
                <c:pt idx="5">
                  <c:v>Gouv</c:v>
                </c:pt>
                <c:pt idx="6">
                  <c:v>Moyen</c:v>
                </c:pt>
              </c:strCache>
            </c:strRef>
          </c:cat>
          <c:val>
            <c:numRef>
              <c:f>Aperçu!$G$5:$G$12</c:f>
              <c:numCache>
                <c:formatCode>0.00</c:formatCode>
                <c:ptCount val="8"/>
                <c:pt idx="0">
                  <c:v>62.358974358974351</c:v>
                </c:pt>
                <c:pt idx="1">
                  <c:v>62.37762237762238</c:v>
                </c:pt>
                <c:pt idx="2">
                  <c:v>67.820512820512818</c:v>
                </c:pt>
                <c:pt idx="3">
                  <c:v>68.333333333333329</c:v>
                </c:pt>
                <c:pt idx="4">
                  <c:v>68.531468531468533</c:v>
                </c:pt>
                <c:pt idx="5">
                  <c:v>75.07692307692308</c:v>
                </c:pt>
                <c:pt idx="7">
                  <c:v>67.416472416472416</c:v>
                </c:pt>
              </c:numCache>
            </c:numRef>
          </c:val>
        </c:ser>
        <c:ser>
          <c:idx val="0"/>
          <c:order val="1"/>
          <c:tx>
            <c:v>Consensus Score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Aperçu!$C$39:$C$45</c:f>
              <c:strCache>
                <c:ptCount val="7"/>
                <c:pt idx="0">
                  <c:v>GRH</c:v>
                </c:pt>
                <c:pt idx="1">
                  <c:v>GRF</c:v>
                </c:pt>
                <c:pt idx="2">
                  <c:v>PartEq</c:v>
                </c:pt>
                <c:pt idx="3">
                  <c:v>Dur</c:v>
                </c:pt>
                <c:pt idx="4">
                  <c:v>Partn</c:v>
                </c:pt>
                <c:pt idx="5">
                  <c:v>Gouv</c:v>
                </c:pt>
                <c:pt idx="6">
                  <c:v>Moyen</c:v>
                </c:pt>
              </c:strCache>
            </c:strRef>
          </c:cat>
          <c:val>
            <c:numRef>
              <c:f>Aperçu!$H$5:$H$12</c:f>
              <c:numCache>
                <c:formatCode>0.00</c:formatCode>
                <c:ptCount val="8"/>
                <c:pt idx="0">
                  <c:v>66.084149718975056</c:v>
                </c:pt>
                <c:pt idx="1">
                  <c:v>74.121149552498835</c:v>
                </c:pt>
                <c:pt idx="2">
                  <c:v>65.331237735923182</c:v>
                </c:pt>
                <c:pt idx="3">
                  <c:v>61.887714627743769</c:v>
                </c:pt>
                <c:pt idx="4">
                  <c:v>74.934190973740016</c:v>
                </c:pt>
                <c:pt idx="5">
                  <c:v>76.141442431891051</c:v>
                </c:pt>
                <c:pt idx="7">
                  <c:v>69.749980840128657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55552"/>
        <c:axId val="91257856"/>
      </c:barChart>
      <c:lineChart>
        <c:grouping val="standard"/>
        <c:varyColors val="0"/>
        <c:ser>
          <c:idx val="2"/>
          <c:order val="2"/>
          <c:tx>
            <c:v>Cohort Cap Mean</c:v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Aperçu!$A$39:$A$45</c:f>
              <c:numCache>
                <c:formatCode>General</c:formatCode>
                <c:ptCount val="7"/>
                <c:pt idx="0">
                  <c:v>40</c:v>
                </c:pt>
                <c:pt idx="1">
                  <c:v>40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60</c:v>
                </c:pt>
                <c:pt idx="6" formatCode="0">
                  <c:v>48.333333333333336</c:v>
                </c:pt>
              </c:numCache>
            </c:numRef>
          </c:val>
          <c:smooth val="0"/>
        </c:ser>
        <c:ser>
          <c:idx val="3"/>
          <c:order val="3"/>
          <c:tx>
            <c:v>Cohort Cons Mean</c:v>
          </c:tx>
          <c:spPr>
            <a:ln w="25400">
              <a:pattFill prst="pct75">
                <a:fgClr>
                  <a:srgbClr val="0000FF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x"/>
            <c:size val="3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Aperçu!$B$39:$B$45</c:f>
              <c:numCache>
                <c:formatCode>General</c:formatCode>
                <c:ptCount val="7"/>
                <c:pt idx="0">
                  <c:v>45</c:v>
                </c:pt>
                <c:pt idx="1">
                  <c:v>55</c:v>
                </c:pt>
                <c:pt idx="2">
                  <c:v>45</c:v>
                </c:pt>
                <c:pt idx="3">
                  <c:v>40</c:v>
                </c:pt>
                <c:pt idx="4">
                  <c:v>60</c:v>
                </c:pt>
                <c:pt idx="5">
                  <c:v>60</c:v>
                </c:pt>
                <c:pt idx="6" formatCode="0">
                  <c:v>50.833333333333336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264128"/>
        <c:axId val="91265664"/>
      </c:lineChart>
      <c:catAx>
        <c:axId val="9125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Domaine de competence</a:t>
                </a:r>
              </a:p>
            </c:rich>
          </c:tx>
          <c:layout>
            <c:manualLayout>
              <c:xMode val="edge"/>
              <c:yMode val="edge"/>
              <c:x val="0.38268849653705184"/>
              <c:y val="0.874172307408942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12578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1257856"/>
        <c:scaling>
          <c:orientation val="minMax"/>
          <c:max val="100"/>
          <c:min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Note moyenne graduee</a:t>
                </a:r>
              </a:p>
            </c:rich>
          </c:tx>
          <c:layout>
            <c:manualLayout>
              <c:xMode val="edge"/>
              <c:yMode val="edge"/>
              <c:x val="3.6446402349486047E-2"/>
              <c:y val="0.3741721232214394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1255552"/>
        <c:crosses val="autoZero"/>
        <c:crossBetween val="between"/>
        <c:majorUnit val="20"/>
      </c:valAx>
      <c:catAx>
        <c:axId val="91264128"/>
        <c:scaling>
          <c:orientation val="minMax"/>
        </c:scaling>
        <c:delete val="1"/>
        <c:axPos val="b"/>
        <c:majorTickMark val="out"/>
        <c:minorTickMark val="none"/>
        <c:tickLblPos val="nextTo"/>
        <c:crossAx val="91265664"/>
        <c:crosses val="autoZero"/>
        <c:auto val="0"/>
        <c:lblAlgn val="ctr"/>
        <c:lblOffset val="100"/>
        <c:noMultiLvlLbl val="0"/>
      </c:catAx>
      <c:valAx>
        <c:axId val="91265664"/>
        <c:scaling>
          <c:orientation val="minMax"/>
          <c:max val="100"/>
          <c:min val="20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1264128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14578630314382507"/>
          <c:y val="0.16225150803517982"/>
          <c:w val="0.70615121347716991"/>
          <c:h val="0.149006584703227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9" l="0.78740157499999996" r="0.78740157499999996" t="0.984251969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Gestion des Ressources Humaines</a:t>
            </a:r>
          </a:p>
        </c:rich>
      </c:tx>
      <c:layout>
        <c:manualLayout>
          <c:xMode val="edge"/>
          <c:yMode val="edge"/>
          <c:x val="6.7708316209951838E-2"/>
          <c:y val="3.3669929772291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08333333333333"/>
          <c:y val="0.15656565656565657"/>
          <c:w val="0.86250000000000004"/>
          <c:h val="0.57239057239057234"/>
        </c:manualLayout>
      </c:layout>
      <c:barChart>
        <c:barDir val="col"/>
        <c:grouping val="clustered"/>
        <c:varyColors val="0"/>
        <c:ser>
          <c:idx val="0"/>
          <c:order val="0"/>
          <c:tx>
            <c:v>Capacity Score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GRH!$Y$12:$Y$24</c:f>
              <c:strCache>
                <c:ptCount val="13"/>
                <c:pt idx="0">
                  <c:v>1. Recrutement transparent</c:v>
                </c:pt>
                <c:pt idx="1">
                  <c:v>2. Transdisciplinarité</c:v>
                </c:pt>
                <c:pt idx="2">
                  <c:v>3. Egalité de genre</c:v>
                </c:pt>
                <c:pt idx="3">
                  <c:v>4. Parité H/F</c:v>
                </c:pt>
                <c:pt idx="4">
                  <c:v>5. Diversité du personnel</c:v>
                </c:pt>
                <c:pt idx="5">
                  <c:v>6. Profil du personnel</c:v>
                </c:pt>
                <c:pt idx="6">
                  <c:v>7. Compétences du personnel</c:v>
                </c:pt>
                <c:pt idx="7">
                  <c:v>8. Effectif du personnel</c:v>
                </c:pt>
                <c:pt idx="8">
                  <c:v>9. Formations régulières</c:v>
                </c:pt>
                <c:pt idx="9">
                  <c:v>10. Formations adaptées</c:v>
                </c:pt>
                <c:pt idx="10">
                  <c:v>11. Formation selon priorités</c:v>
                </c:pt>
                <c:pt idx="11">
                  <c:v>12. Motivation</c:v>
                </c:pt>
                <c:pt idx="12">
                  <c:v>13. Gestion des conflits</c:v>
                </c:pt>
              </c:strCache>
            </c:strRef>
          </c:cat>
          <c:val>
            <c:numRef>
              <c:f>GRH!$W$12:$W$24</c:f>
              <c:numCache>
                <c:formatCode>0</c:formatCode>
                <c:ptCount val="13"/>
                <c:pt idx="0">
                  <c:v>60</c:v>
                </c:pt>
                <c:pt idx="1">
                  <c:v>66.153846153846146</c:v>
                </c:pt>
                <c:pt idx="2">
                  <c:v>58.46153846153846</c:v>
                </c:pt>
                <c:pt idx="3">
                  <c:v>69.230769230769226</c:v>
                </c:pt>
                <c:pt idx="4">
                  <c:v>56.923076923076927</c:v>
                </c:pt>
                <c:pt idx="5">
                  <c:v>69.230769230769226</c:v>
                </c:pt>
                <c:pt idx="6">
                  <c:v>66.153846153846146</c:v>
                </c:pt>
                <c:pt idx="7">
                  <c:v>50.769230769230766</c:v>
                </c:pt>
                <c:pt idx="8">
                  <c:v>56.923076923076927</c:v>
                </c:pt>
                <c:pt idx="9">
                  <c:v>76.92307692307692</c:v>
                </c:pt>
                <c:pt idx="10">
                  <c:v>69.230769230769226</c:v>
                </c:pt>
                <c:pt idx="11">
                  <c:v>70.769230769230774</c:v>
                </c:pt>
                <c:pt idx="12">
                  <c:v>50.769230769230766</c:v>
                </c:pt>
              </c:numCache>
            </c:numRef>
          </c:val>
        </c:ser>
        <c:ser>
          <c:idx val="1"/>
          <c:order val="1"/>
          <c:tx>
            <c:v>Consensus Score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GRH!$Y$12:$Y$24</c:f>
              <c:strCache>
                <c:ptCount val="13"/>
                <c:pt idx="0">
                  <c:v>1. Recrutement transparent</c:v>
                </c:pt>
                <c:pt idx="1">
                  <c:v>2. Transdisciplinarité</c:v>
                </c:pt>
                <c:pt idx="2">
                  <c:v>3. Egalité de genre</c:v>
                </c:pt>
                <c:pt idx="3">
                  <c:v>4. Parité H/F</c:v>
                </c:pt>
                <c:pt idx="4">
                  <c:v>5. Diversité du personnel</c:v>
                </c:pt>
                <c:pt idx="5">
                  <c:v>6. Profil du personnel</c:v>
                </c:pt>
                <c:pt idx="6">
                  <c:v>7. Compétences du personnel</c:v>
                </c:pt>
                <c:pt idx="7">
                  <c:v>8. Effectif du personnel</c:v>
                </c:pt>
                <c:pt idx="8">
                  <c:v>9. Formations régulières</c:v>
                </c:pt>
                <c:pt idx="9">
                  <c:v>10. Formations adaptées</c:v>
                </c:pt>
                <c:pt idx="10">
                  <c:v>11. Formation selon priorités</c:v>
                </c:pt>
                <c:pt idx="11">
                  <c:v>12. Motivation</c:v>
                </c:pt>
                <c:pt idx="12">
                  <c:v>13. Gestion des conflits</c:v>
                </c:pt>
              </c:strCache>
            </c:strRef>
          </c:cat>
          <c:val>
            <c:numRef>
              <c:f>GRH!$X$12:$X$24</c:f>
              <c:numCache>
                <c:formatCode>0</c:formatCode>
                <c:ptCount val="13"/>
                <c:pt idx="0">
                  <c:v>45.993827513267824</c:v>
                </c:pt>
                <c:pt idx="1">
                  <c:v>57.257479286744484</c:v>
                </c:pt>
                <c:pt idx="2">
                  <c:v>25.106913810590243</c:v>
                </c:pt>
                <c:pt idx="3">
                  <c:v>43.669928785089198</c:v>
                </c:pt>
                <c:pt idx="4">
                  <c:v>50.645188320717544</c:v>
                </c:pt>
                <c:pt idx="5">
                  <c:v>27.498894791801575</c:v>
                </c:pt>
                <c:pt idx="6">
                  <c:v>48.422326436175801</c:v>
                </c:pt>
                <c:pt idx="7">
                  <c:v>47.498473770658279</c:v>
                </c:pt>
                <c:pt idx="8">
                  <c:v>42.822812510313433</c:v>
                </c:pt>
                <c:pt idx="9">
                  <c:v>46.590599118094367</c:v>
                </c:pt>
                <c:pt idx="10">
                  <c:v>47.498473770658279</c:v>
                </c:pt>
                <c:pt idx="11">
                  <c:v>34.955636441200909</c:v>
                </c:pt>
                <c:pt idx="12">
                  <c:v>52.296320627848573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650240"/>
        <c:axId val="84668416"/>
      </c:barChart>
      <c:catAx>
        <c:axId val="84650240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4668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84668416"/>
        <c:scaling>
          <c:orientation val="minMax"/>
          <c:max val="100"/>
          <c:min val="2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note</a:t>
                </a:r>
              </a:p>
            </c:rich>
          </c:tx>
          <c:layout>
            <c:manualLayout>
              <c:xMode val="edge"/>
              <c:yMode val="edge"/>
              <c:x val="7.2915468029961811E-3"/>
              <c:y val="0.415824820883875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4650240"/>
        <c:crosses val="autoZero"/>
        <c:crossBetween val="between"/>
        <c:majorUnit val="20"/>
        <c:min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0833319634628134E-2"/>
          <c:y val="0.20202028800453997"/>
          <c:w val="0.2885415262549384"/>
          <c:h val="4.040398666382918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Total des Notes</a:t>
            </a:r>
          </a:p>
        </c:rich>
      </c:tx>
      <c:layout>
        <c:manualLayout>
          <c:xMode val="edge"/>
          <c:yMode val="edge"/>
          <c:x val="0.3"/>
          <c:y val="5.26310298169250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3571521992749012E-2"/>
          <c:y val="0.29605263157894735"/>
          <c:w val="0.89643013467866683"/>
          <c:h val="0.460526315789473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 rtl="0"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GRH!$A$4</c:f>
              <c:numCache>
                <c:formatCode>0.00</c:formatCode>
                <c:ptCount val="1"/>
                <c:pt idx="0">
                  <c:v>62.358974358974351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GRH!$A$5</c:f>
              <c:numCache>
                <c:formatCode>0.00</c:formatCode>
                <c:ptCount val="1"/>
                <c:pt idx="0">
                  <c:v>66.084149718975056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896704"/>
        <c:axId val="93898624"/>
      </c:barChart>
      <c:catAx>
        <c:axId val="9389670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Note Capacite   Note Consensus</a:t>
                </a:r>
              </a:p>
            </c:rich>
          </c:tx>
          <c:layout>
            <c:manualLayout>
              <c:xMode val="edge"/>
              <c:yMode val="edge"/>
              <c:x val="0.17142817674106525"/>
              <c:y val="0.7565778190769632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93898624"/>
        <c:crosses val="autoZero"/>
        <c:auto val="1"/>
        <c:lblAlgn val="ctr"/>
        <c:lblOffset val="100"/>
        <c:noMultiLvlLbl val="0"/>
      </c:catAx>
      <c:valAx>
        <c:axId val="93898624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93896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Gestion des Ressources Financieres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156576200417533E-2"/>
          <c:y val="9.45945945945946E-2"/>
          <c:w val="0.90814196242171186"/>
          <c:h val="0.56756756756756754"/>
        </c:manualLayout>
      </c:layout>
      <c:barChart>
        <c:barDir val="col"/>
        <c:grouping val="clustered"/>
        <c:varyColors val="0"/>
        <c:ser>
          <c:idx val="0"/>
          <c:order val="0"/>
          <c:tx>
            <c:v>Capacity Score</c:v>
          </c:tx>
          <c:invertIfNegative val="0"/>
          <c:cat>
            <c:strRef>
              <c:f>GRF!$Y$12:$Y$25</c:f>
              <c:strCache>
                <c:ptCount val="13"/>
                <c:pt idx="0">
                  <c:v>1. Procédures régulières</c:v>
                </c:pt>
                <c:pt idx="1">
                  <c:v>2. Budgétisation selon priorités</c:v>
                </c:pt>
                <c:pt idx="2">
                  <c:v>3. Prévisions financières</c:v>
                </c:pt>
                <c:pt idx="3">
                  <c:v>4. Dépenses selon revenus</c:v>
                </c:pt>
                <c:pt idx="4">
                  <c:v>5. Charges fixes</c:v>
                </c:pt>
                <c:pt idx="5">
                  <c:v>6. Décaissements périodiques</c:v>
                </c:pt>
                <c:pt idx="6">
                  <c:v>7. Appui de l’Etat</c:v>
                </c:pt>
                <c:pt idx="7">
                  <c:v>8. Appui des Partenaires</c:v>
                </c:pt>
                <c:pt idx="8">
                  <c:v>9. Ressources pour activités</c:v>
                </c:pt>
                <c:pt idx="9">
                  <c:v>10. Ressources pour  infrastructures</c:v>
                </c:pt>
                <c:pt idx="10">
                  <c:v>11. Ressources pour  communication</c:v>
                </c:pt>
                <c:pt idx="11">
                  <c:v>12. Ressources internes</c:v>
                </c:pt>
                <c:pt idx="12">
                  <c:v>13. Ressources externes</c:v>
                </c:pt>
              </c:strCache>
            </c:strRef>
          </c:cat>
          <c:val>
            <c:numRef>
              <c:f>GRF!$W$12:$W$25</c:f>
              <c:numCache>
                <c:formatCode>0</c:formatCode>
                <c:ptCount val="14"/>
                <c:pt idx="0">
                  <c:v>80</c:v>
                </c:pt>
                <c:pt idx="1">
                  <c:v>81.818181818181813</c:v>
                </c:pt>
                <c:pt idx="2">
                  <c:v>52.727272727272727</c:v>
                </c:pt>
                <c:pt idx="3">
                  <c:v>69.090909090909093</c:v>
                </c:pt>
                <c:pt idx="4">
                  <c:v>74.545454545454547</c:v>
                </c:pt>
                <c:pt idx="5">
                  <c:v>69.090909090909093</c:v>
                </c:pt>
                <c:pt idx="6">
                  <c:v>38.181818181818187</c:v>
                </c:pt>
                <c:pt idx="7">
                  <c:v>41.818181818181813</c:v>
                </c:pt>
                <c:pt idx="8">
                  <c:v>54.54545454545454</c:v>
                </c:pt>
                <c:pt idx="9">
                  <c:v>60</c:v>
                </c:pt>
                <c:pt idx="10">
                  <c:v>70.909090909090907</c:v>
                </c:pt>
                <c:pt idx="11">
                  <c:v>60</c:v>
                </c:pt>
                <c:pt idx="12">
                  <c:v>58.181818181818187</c:v>
                </c:pt>
              </c:numCache>
            </c:numRef>
          </c:val>
        </c:ser>
        <c:ser>
          <c:idx val="1"/>
          <c:order val="1"/>
          <c:tx>
            <c:v>Consensus Score</c:v>
          </c:tx>
          <c:invertIfNegative val="0"/>
          <c:cat>
            <c:strRef>
              <c:f>GRF!$Y$12:$Y$25</c:f>
              <c:strCache>
                <c:ptCount val="13"/>
                <c:pt idx="0">
                  <c:v>1. Procédures régulières</c:v>
                </c:pt>
                <c:pt idx="1">
                  <c:v>2. Budgétisation selon priorités</c:v>
                </c:pt>
                <c:pt idx="2">
                  <c:v>3. Prévisions financières</c:v>
                </c:pt>
                <c:pt idx="3">
                  <c:v>4. Dépenses selon revenus</c:v>
                </c:pt>
                <c:pt idx="4">
                  <c:v>5. Charges fixes</c:v>
                </c:pt>
                <c:pt idx="5">
                  <c:v>6. Décaissements périodiques</c:v>
                </c:pt>
                <c:pt idx="6">
                  <c:v>7. Appui de l’Etat</c:v>
                </c:pt>
                <c:pt idx="7">
                  <c:v>8. Appui des Partenaires</c:v>
                </c:pt>
                <c:pt idx="8">
                  <c:v>9. Ressources pour activités</c:v>
                </c:pt>
                <c:pt idx="9">
                  <c:v>10. Ressources pour  infrastructures</c:v>
                </c:pt>
                <c:pt idx="10">
                  <c:v>11. Ressources pour  communication</c:v>
                </c:pt>
                <c:pt idx="11">
                  <c:v>12. Ressources internes</c:v>
                </c:pt>
                <c:pt idx="12">
                  <c:v>13. Ressources externes</c:v>
                </c:pt>
              </c:strCache>
            </c:strRef>
          </c:cat>
          <c:val>
            <c:numRef>
              <c:f>GRF!$X$12:$X$25</c:f>
              <c:numCache>
                <c:formatCode>0</c:formatCode>
                <c:ptCount val="14"/>
                <c:pt idx="0">
                  <c:v>45.227744249483393</c:v>
                </c:pt>
                <c:pt idx="1">
                  <c:v>52.806009627573054</c:v>
                </c:pt>
                <c:pt idx="2">
                  <c:v>39.697731084447277</c:v>
                </c:pt>
                <c:pt idx="3">
                  <c:v>43.592392518223377</c:v>
                </c:pt>
                <c:pt idx="4">
                  <c:v>49.547502089048699</c:v>
                </c:pt>
                <c:pt idx="5">
                  <c:v>65.622417452383559</c:v>
                </c:pt>
                <c:pt idx="6">
                  <c:v>84.924432771111825</c:v>
                </c:pt>
                <c:pt idx="7">
                  <c:v>84.924432771111825</c:v>
                </c:pt>
                <c:pt idx="8">
                  <c:v>49.547502089048699</c:v>
                </c:pt>
                <c:pt idx="9">
                  <c:v>50</c:v>
                </c:pt>
                <c:pt idx="10">
                  <c:v>58.990023386763781</c:v>
                </c:pt>
                <c:pt idx="11">
                  <c:v>36.754446796632415</c:v>
                </c:pt>
                <c:pt idx="12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3941120"/>
        <c:axId val="93942912"/>
      </c:barChart>
      <c:catAx>
        <c:axId val="9394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3942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942912"/>
        <c:scaling>
          <c:orientation val="minMax"/>
          <c:max val="100"/>
          <c:min val="20"/>
        </c:scaling>
        <c:delete val="0"/>
        <c:axPos val="l"/>
        <c:majorGridlines/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93941120"/>
        <c:crosses val="autoZero"/>
        <c:crossBetween val="between"/>
        <c:majorUnit val="20"/>
        <c:minorUnit val="10"/>
      </c:valAx>
    </c:plotArea>
    <c:legend>
      <c:legendPos val="b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Total des Notes</a:t>
            </a:r>
          </a:p>
        </c:rich>
      </c:tx>
      <c:layout>
        <c:manualLayout>
          <c:xMode val="edge"/>
          <c:yMode val="edge"/>
          <c:x val="0.30537017778438075"/>
          <c:y val="5.44229698560407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335652946159527E-2"/>
          <c:y val="0.33333554777548213"/>
          <c:w val="0.90268604283446097"/>
          <c:h val="0.292518950088688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 rtl="0"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GRF!$A$4</c:f>
              <c:numCache>
                <c:formatCode>0.00</c:formatCode>
                <c:ptCount val="1"/>
                <c:pt idx="0">
                  <c:v>62.37762237762238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GRF!$A$5</c:f>
              <c:numCache>
                <c:formatCode>0.00</c:formatCode>
                <c:ptCount val="1"/>
                <c:pt idx="0">
                  <c:v>74.121149552498835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00800"/>
        <c:axId val="95630080"/>
      </c:barChart>
      <c:catAx>
        <c:axId val="943008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Notes Capacite  Notes Consensus
</a:t>
                </a:r>
              </a:p>
            </c:rich>
          </c:tx>
          <c:layout>
            <c:manualLayout>
              <c:xMode val="edge"/>
              <c:yMode val="edge"/>
              <c:x val="0.14429587810957592"/>
              <c:y val="0.62585381372782944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95630080"/>
        <c:crosses val="autoZero"/>
        <c:auto val="1"/>
        <c:lblAlgn val="ctr"/>
        <c:lblOffset val="100"/>
        <c:noMultiLvlLbl val="0"/>
      </c:catAx>
      <c:valAx>
        <c:axId val="95630080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94300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Participation Equitable</a:t>
            </a:r>
          </a:p>
        </c:rich>
      </c:tx>
      <c:layout>
        <c:manualLayout>
          <c:xMode val="edge"/>
          <c:yMode val="edge"/>
          <c:x val="0.15000005479482079"/>
          <c:y val="3.3669929772291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20833333333334"/>
          <c:y val="0.15824915824915825"/>
          <c:w val="0.859375"/>
          <c:h val="0.51683501683501687"/>
        </c:manualLayout>
      </c:layout>
      <c:barChart>
        <c:barDir val="col"/>
        <c:grouping val="clustered"/>
        <c:varyColors val="0"/>
        <c:ser>
          <c:idx val="0"/>
          <c:order val="0"/>
          <c:tx>
            <c:v>Capacity Score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PartEq!$Y$12:$Y$23</c:f>
              <c:strCache>
                <c:ptCount val="12"/>
                <c:pt idx="0">
                  <c:v>1. Evaluation des besoins</c:v>
                </c:pt>
                <c:pt idx="1">
                  <c:v>2. Conception des projets</c:v>
                </c:pt>
                <c:pt idx="2">
                  <c:v>3. Suivi-évaluation des projets</c:v>
                </c:pt>
                <c:pt idx="3">
                  <c:v>4. Accès aux activités</c:v>
                </c:pt>
                <c:pt idx="4">
                  <c:v>5. Accès aux bénéfices</c:v>
                </c:pt>
                <c:pt idx="5">
                  <c:v>6. Equité dans la conception</c:v>
                </c:pt>
                <c:pt idx="6">
                  <c:v>7. Equité dans la mise en œuvre</c:v>
                </c:pt>
                <c:pt idx="7">
                  <c:v>8. Examen des besoins</c:v>
                </c:pt>
                <c:pt idx="8">
                  <c:v>9. Adaptation des activités</c:v>
                </c:pt>
                <c:pt idx="9">
                  <c:v>10. Leadership local</c:v>
                </c:pt>
                <c:pt idx="10">
                  <c:v>11. Capacités locales</c:v>
                </c:pt>
                <c:pt idx="11">
                  <c:v>12. Implication des décideurs</c:v>
                </c:pt>
              </c:strCache>
            </c:strRef>
          </c:cat>
          <c:val>
            <c:numRef>
              <c:f>PartEq!$W$12:$W$23</c:f>
              <c:numCache>
                <c:formatCode>0</c:formatCode>
                <c:ptCount val="12"/>
                <c:pt idx="0">
                  <c:v>78.461538461538453</c:v>
                </c:pt>
                <c:pt idx="1">
                  <c:v>83.07692307692308</c:v>
                </c:pt>
                <c:pt idx="2">
                  <c:v>56.923076923076927</c:v>
                </c:pt>
                <c:pt idx="3">
                  <c:v>53.846153846153854</c:v>
                </c:pt>
                <c:pt idx="4">
                  <c:v>50.769230769230766</c:v>
                </c:pt>
                <c:pt idx="5">
                  <c:v>63.076923076923073</c:v>
                </c:pt>
                <c:pt idx="6">
                  <c:v>63.076923076923073</c:v>
                </c:pt>
                <c:pt idx="7">
                  <c:v>64.615384615384613</c:v>
                </c:pt>
                <c:pt idx="8">
                  <c:v>72.307692307692307</c:v>
                </c:pt>
                <c:pt idx="9">
                  <c:v>76.92307692307692</c:v>
                </c:pt>
                <c:pt idx="10">
                  <c:v>70.769230769230774</c:v>
                </c:pt>
                <c:pt idx="11">
                  <c:v>80</c:v>
                </c:pt>
              </c:numCache>
            </c:numRef>
          </c:val>
        </c:ser>
        <c:ser>
          <c:idx val="1"/>
          <c:order val="1"/>
          <c:tx>
            <c:v>Consensus Score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PartEq!$Y$12:$Y$23</c:f>
              <c:strCache>
                <c:ptCount val="12"/>
                <c:pt idx="0">
                  <c:v>1. Evaluation des besoins</c:v>
                </c:pt>
                <c:pt idx="1">
                  <c:v>2. Conception des projets</c:v>
                </c:pt>
                <c:pt idx="2">
                  <c:v>3. Suivi-évaluation des projets</c:v>
                </c:pt>
                <c:pt idx="3">
                  <c:v>4. Accès aux activités</c:v>
                </c:pt>
                <c:pt idx="4">
                  <c:v>5. Accès aux bénéfices</c:v>
                </c:pt>
                <c:pt idx="5">
                  <c:v>6. Equité dans la conception</c:v>
                </c:pt>
                <c:pt idx="6">
                  <c:v>7. Equité dans la mise en œuvre</c:v>
                </c:pt>
                <c:pt idx="7">
                  <c:v>8. Examen des besoins</c:v>
                </c:pt>
                <c:pt idx="8">
                  <c:v>9. Adaptation des activités</c:v>
                </c:pt>
                <c:pt idx="9">
                  <c:v>10. Leadership local</c:v>
                </c:pt>
                <c:pt idx="10">
                  <c:v>11. Capacités locales</c:v>
                </c:pt>
                <c:pt idx="11">
                  <c:v>12. Implication des décideurs</c:v>
                </c:pt>
              </c:strCache>
            </c:strRef>
          </c:cat>
          <c:val>
            <c:numRef>
              <c:f>PartEq!$X$12:$X$23</c:f>
              <c:numCache>
                <c:formatCode>0</c:formatCode>
                <c:ptCount val="12"/>
                <c:pt idx="0">
                  <c:v>62.022273734362507</c:v>
                </c:pt>
                <c:pt idx="1">
                  <c:v>72.264990188738551</c:v>
                </c:pt>
                <c:pt idx="2">
                  <c:v>55.06414828635414</c:v>
                </c:pt>
                <c:pt idx="3">
                  <c:v>31.126276827880545</c:v>
                </c:pt>
                <c:pt idx="4">
                  <c:v>43.669928785089198</c:v>
                </c:pt>
                <c:pt idx="5">
                  <c:v>46.590599118094367</c:v>
                </c:pt>
                <c:pt idx="6">
                  <c:v>35.948738477965151</c:v>
                </c:pt>
                <c:pt idx="7">
                  <c:v>41.71247219656766</c:v>
                </c:pt>
                <c:pt idx="8">
                  <c:v>56.514075368854797</c:v>
                </c:pt>
                <c:pt idx="9">
                  <c:v>50.645188320717544</c:v>
                </c:pt>
                <c:pt idx="10">
                  <c:v>43.669928785089198</c:v>
                </c:pt>
                <c:pt idx="11">
                  <c:v>79.587585476806851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681920"/>
        <c:axId val="95360128"/>
      </c:barChart>
      <c:catAx>
        <c:axId val="956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5360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360128"/>
        <c:scaling>
          <c:orientation val="minMax"/>
          <c:max val="100"/>
          <c:min val="2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Score</a:t>
                </a:r>
              </a:p>
            </c:rich>
          </c:tx>
          <c:layout>
            <c:manualLayout>
              <c:xMode val="edge"/>
              <c:yMode val="edge"/>
              <c:x val="7.2916563926377674E-3"/>
              <c:y val="0.3821548911115840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5681920"/>
        <c:crosses val="autoZero"/>
        <c:crossBetween val="between"/>
        <c:majorUnit val="20"/>
        <c:min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3877336314171583E-3"/>
          <c:y val="8.763282968007377E-2"/>
          <c:w val="0.28854163584457998"/>
          <c:h val="4.040398666382918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Total des Notes</a:t>
            </a:r>
          </a:p>
        </c:rich>
      </c:tx>
      <c:layout>
        <c:manualLayout>
          <c:xMode val="edge"/>
          <c:yMode val="edge"/>
          <c:x val="0.30599302565932801"/>
          <c:y val="4.76182295394893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2492917847025496E-2"/>
          <c:y val="0.23636503530442296"/>
          <c:w val="0.9178470254957507"/>
          <c:h val="0.58788226729561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 rtl="0"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PartEq!$A$4</c:f>
              <c:numCache>
                <c:formatCode>0.00</c:formatCode>
                <c:ptCount val="1"/>
                <c:pt idx="0">
                  <c:v>67.820512820512818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PartEq!$A$5</c:f>
              <c:numCache>
                <c:formatCode>0.00</c:formatCode>
                <c:ptCount val="1"/>
                <c:pt idx="0">
                  <c:v>65.331237735923182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76896"/>
        <c:axId val="95378816"/>
      </c:barChart>
      <c:catAx>
        <c:axId val="9537689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Notes Capacite  Notes Consensus</a:t>
                </a:r>
              </a:p>
            </c:rich>
          </c:tx>
          <c:layout>
            <c:manualLayout>
              <c:xMode val="edge"/>
              <c:yMode val="edge"/>
              <c:x val="0.11987330195623563"/>
              <c:y val="0.43740841485723375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95378816"/>
        <c:crosses val="autoZero"/>
        <c:auto val="1"/>
        <c:lblAlgn val="ctr"/>
        <c:lblOffset val="100"/>
        <c:noMultiLvlLbl val="0"/>
      </c:catAx>
      <c:valAx>
        <c:axId val="95378816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95376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Durabilité (Perennisation) des Acquis du Programme</a:t>
            </a:r>
          </a:p>
        </c:rich>
      </c:tx>
      <c:layout>
        <c:manualLayout>
          <c:xMode val="edge"/>
          <c:yMode val="edge"/>
          <c:x val="3.229166666666667E-2"/>
          <c:y val="3.36700336700336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29166666666666"/>
          <c:y val="0.15824915824915825"/>
          <c:w val="0.88124999999999998"/>
          <c:h val="0.64141414141414144"/>
        </c:manualLayout>
      </c:layout>
      <c:barChart>
        <c:barDir val="col"/>
        <c:grouping val="clustered"/>
        <c:varyColors val="0"/>
        <c:ser>
          <c:idx val="0"/>
          <c:order val="0"/>
          <c:tx>
            <c:v>Capacity Score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Dur!$Y$12:$Y$23</c:f>
              <c:strCache>
                <c:ptCount val="12"/>
                <c:pt idx="0">
                  <c:v>1. D. économique pour conception</c:v>
                </c:pt>
                <c:pt idx="1">
                  <c:v>2. D. politique pour conception</c:v>
                </c:pt>
                <c:pt idx="2">
                  <c:v>3. D. institutionnelle pour conception</c:v>
                </c:pt>
                <c:pt idx="3">
                  <c:v>4. D. sociale pour conception</c:v>
                </c:pt>
                <c:pt idx="4">
                  <c:v>5. D. environnementale pour exécution</c:v>
                </c:pt>
                <c:pt idx="5">
                  <c:v>6. D. économique exécution</c:v>
                </c:pt>
                <c:pt idx="6">
                  <c:v>7. D. institutionnelle pour exécution</c:v>
                </c:pt>
                <c:pt idx="7">
                  <c:v>8. D. sociale pour exécution</c:v>
                </c:pt>
                <c:pt idx="8">
                  <c:v>9. D. environnementale pour S&amp;E</c:v>
                </c:pt>
                <c:pt idx="9">
                  <c:v>10. D. économique pour S&amp;E</c:v>
                </c:pt>
                <c:pt idx="10">
                  <c:v>11. D. institutionnelle pour S&amp;E</c:v>
                </c:pt>
                <c:pt idx="11">
                  <c:v>12. Appui technique</c:v>
                </c:pt>
              </c:strCache>
            </c:strRef>
          </c:cat>
          <c:val>
            <c:numRef>
              <c:f>Dur!$W$12:$W$23</c:f>
              <c:numCache>
                <c:formatCode>0</c:formatCode>
                <c:ptCount val="12"/>
                <c:pt idx="0">
                  <c:v>76.92307692307692</c:v>
                </c:pt>
                <c:pt idx="1">
                  <c:v>58.46153846153846</c:v>
                </c:pt>
                <c:pt idx="2">
                  <c:v>67.692307692307693</c:v>
                </c:pt>
                <c:pt idx="3">
                  <c:v>63.076923076923073</c:v>
                </c:pt>
                <c:pt idx="4">
                  <c:v>66.153846153846146</c:v>
                </c:pt>
                <c:pt idx="5">
                  <c:v>72.307692307692307</c:v>
                </c:pt>
                <c:pt idx="6">
                  <c:v>78.461538461538453</c:v>
                </c:pt>
                <c:pt idx="7">
                  <c:v>69.230769230769226</c:v>
                </c:pt>
                <c:pt idx="8">
                  <c:v>61.53846153846154</c:v>
                </c:pt>
                <c:pt idx="9">
                  <c:v>75.384615384615387</c:v>
                </c:pt>
                <c:pt idx="10">
                  <c:v>64.615384615384613</c:v>
                </c:pt>
                <c:pt idx="11">
                  <c:v>66.153846153846146</c:v>
                </c:pt>
              </c:numCache>
            </c:numRef>
          </c:val>
        </c:ser>
        <c:ser>
          <c:idx val="1"/>
          <c:order val="1"/>
          <c:tx>
            <c:v>Consensus Score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Dur!$Y$12:$Y$23</c:f>
              <c:strCache>
                <c:ptCount val="12"/>
                <c:pt idx="0">
                  <c:v>1. D. économique pour conception</c:v>
                </c:pt>
                <c:pt idx="1">
                  <c:v>2. D. politique pour conception</c:v>
                </c:pt>
                <c:pt idx="2">
                  <c:v>3. D. institutionnelle pour conception</c:v>
                </c:pt>
                <c:pt idx="3">
                  <c:v>4. D. sociale pour conception</c:v>
                </c:pt>
                <c:pt idx="4">
                  <c:v>5. D. environnementale pour exécution</c:v>
                </c:pt>
                <c:pt idx="5">
                  <c:v>6. D. économique exécution</c:v>
                </c:pt>
                <c:pt idx="6">
                  <c:v>7. D. institutionnelle pour exécution</c:v>
                </c:pt>
                <c:pt idx="7">
                  <c:v>8. D. sociale pour exécution</c:v>
                </c:pt>
                <c:pt idx="8">
                  <c:v>9. D. environnementale pour S&amp;E</c:v>
                </c:pt>
                <c:pt idx="9">
                  <c:v>10. D. économique pour S&amp;E</c:v>
                </c:pt>
                <c:pt idx="10">
                  <c:v>11. D. institutionnelle pour S&amp;E</c:v>
                </c:pt>
                <c:pt idx="11">
                  <c:v>12. Appui technique</c:v>
                </c:pt>
              </c:strCache>
            </c:strRef>
          </c:cat>
          <c:val>
            <c:numRef>
              <c:f>Dur!$X$12:$X$23</c:f>
              <c:numCache>
                <c:formatCode>0</c:formatCode>
                <c:ptCount val="12"/>
                <c:pt idx="0">
                  <c:v>50.645188320717544</c:v>
                </c:pt>
                <c:pt idx="1">
                  <c:v>27.942330787710787</c:v>
                </c:pt>
                <c:pt idx="2">
                  <c:v>47.80460772866082</c:v>
                </c:pt>
                <c:pt idx="3">
                  <c:v>35.948738477965151</c:v>
                </c:pt>
                <c:pt idx="4">
                  <c:v>34.220648551972815</c:v>
                </c:pt>
                <c:pt idx="5">
                  <c:v>51.961553858473856</c:v>
                </c:pt>
                <c:pt idx="6">
                  <c:v>75.322594160358776</c:v>
                </c:pt>
                <c:pt idx="7">
                  <c:v>40.085531048472191</c:v>
                </c:pt>
                <c:pt idx="8">
                  <c:v>44.24182249235222</c:v>
                </c:pt>
                <c:pt idx="9">
                  <c:v>53.659565200185085</c:v>
                </c:pt>
                <c:pt idx="10">
                  <c:v>49.363031645816669</c:v>
                </c:pt>
                <c:pt idx="11">
                  <c:v>31.126276827880545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464448"/>
        <c:axId val="95466240"/>
      </c:barChart>
      <c:catAx>
        <c:axId val="9546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5466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466240"/>
        <c:scaling>
          <c:orientation val="minMax"/>
          <c:max val="100"/>
          <c:min val="2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Score</a:t>
                </a:r>
              </a:p>
            </c:rich>
          </c:tx>
          <c:layout>
            <c:manualLayout>
              <c:xMode val="edge"/>
              <c:yMode val="edge"/>
              <c:x val="7.2917760279965008E-3"/>
              <c:y val="0.4444444444444444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5464448"/>
        <c:crosses val="autoZero"/>
        <c:crossBetween val="between"/>
        <c:majorUnit val="20"/>
        <c:min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"/>
          <c:y val="0.20707070707070707"/>
          <c:w val="0.28854177602799652"/>
          <c:h val="0.247474747474747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Total des Notes</a:t>
            </a:r>
          </a:p>
        </c:rich>
      </c:tx>
      <c:layout>
        <c:manualLayout>
          <c:xMode val="edge"/>
          <c:yMode val="edge"/>
          <c:x val="0.30897097862767153"/>
          <c:y val="5.40535433070866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463414634146339E-2"/>
          <c:y val="0.48979591836734693"/>
          <c:w val="0.82317073170731703"/>
          <c:h val="0.112244897959183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 rtl="0"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Dur!$A$4</c:f>
              <c:numCache>
                <c:formatCode>0.00</c:formatCode>
                <c:ptCount val="1"/>
                <c:pt idx="0">
                  <c:v>68.333333333333329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Dur!$A$5</c:f>
              <c:numCache>
                <c:formatCode>0.00</c:formatCode>
                <c:ptCount val="1"/>
                <c:pt idx="0">
                  <c:v>61.887714627743769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55968"/>
        <c:axId val="95966336"/>
      </c:barChart>
      <c:catAx>
        <c:axId val="9595596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Notes Capacite  Notes Consensus</a:t>
                </a:r>
              </a:p>
            </c:rich>
          </c:tx>
          <c:layout>
            <c:manualLayout>
              <c:xMode val="edge"/>
              <c:yMode val="edge"/>
              <c:x val="0.14950251218597677"/>
              <c:y val="0.74324514435695532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95966336"/>
        <c:crosses val="autoZero"/>
        <c:auto val="1"/>
        <c:lblAlgn val="ctr"/>
        <c:lblOffset val="100"/>
        <c:noMultiLvlLbl val="0"/>
      </c:catAx>
      <c:valAx>
        <c:axId val="95966336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95955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Partenariat</a:t>
            </a:r>
          </a:p>
        </c:rich>
      </c:tx>
      <c:layout>
        <c:manualLayout>
          <c:xMode val="edge"/>
          <c:yMode val="edge"/>
          <c:x val="9.375E-2"/>
          <c:y val="3.367003367003366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2500000000001"/>
          <c:y val="0.15824915824915825"/>
          <c:w val="0.87291666666666667"/>
          <c:h val="0.55218855218855223"/>
        </c:manualLayout>
      </c:layout>
      <c:barChart>
        <c:barDir val="col"/>
        <c:grouping val="clustered"/>
        <c:varyColors val="0"/>
        <c:ser>
          <c:idx val="0"/>
          <c:order val="0"/>
          <c:tx>
            <c:v>Capacity Score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Partn!$Y$12:$Y$23</c:f>
              <c:strCache>
                <c:ptCount val="12"/>
                <c:pt idx="0">
                  <c:v>1. Liens avec les politiques</c:v>
                </c:pt>
                <c:pt idx="1">
                  <c:v>2. Liens avec Secteur privé</c:v>
                </c:pt>
                <c:pt idx="2">
                  <c:v>3. Liens avec ONG</c:v>
                </c:pt>
                <c:pt idx="3">
                  <c:v>4. Liens avec autres CL</c:v>
                </c:pt>
                <c:pt idx="4">
                  <c:v>5. Partenariats avec Organisations</c:v>
                </c:pt>
                <c:pt idx="5">
                  <c:v>6. Suivi de l’efficacité</c:v>
                </c:pt>
                <c:pt idx="6">
                  <c:v>7. Avantages financiers</c:v>
                </c:pt>
                <c:pt idx="7">
                  <c:v>8. Compétences techniques</c:v>
                </c:pt>
                <c:pt idx="8">
                  <c:v>9. Relations et réseaux nouveaux</c:v>
                </c:pt>
                <c:pt idx="9">
                  <c:v>10. Informations partagées</c:v>
                </c:pt>
                <c:pt idx="10">
                  <c:v>11. Confiance et coopération</c:v>
                </c:pt>
                <c:pt idx="11">
                  <c:v>12. Objectifs partagés</c:v>
                </c:pt>
              </c:strCache>
            </c:strRef>
          </c:cat>
          <c:val>
            <c:numRef>
              <c:f>Partn!$W$12:$W$23</c:f>
              <c:numCache>
                <c:formatCode>0</c:formatCode>
                <c:ptCount val="12"/>
                <c:pt idx="0">
                  <c:v>69.090909090909093</c:v>
                </c:pt>
                <c:pt idx="1">
                  <c:v>56.363636363636367</c:v>
                </c:pt>
                <c:pt idx="2">
                  <c:v>67.27272727272728</c:v>
                </c:pt>
                <c:pt idx="3">
                  <c:v>63.636363636363633</c:v>
                </c:pt>
                <c:pt idx="4">
                  <c:v>65.454545454545453</c:v>
                </c:pt>
                <c:pt idx="5">
                  <c:v>54.54545454545454</c:v>
                </c:pt>
                <c:pt idx="6">
                  <c:v>74.545454545454547</c:v>
                </c:pt>
                <c:pt idx="7">
                  <c:v>78.181818181818187</c:v>
                </c:pt>
                <c:pt idx="8">
                  <c:v>83.636363636363626</c:v>
                </c:pt>
                <c:pt idx="9">
                  <c:v>63.636363636363633</c:v>
                </c:pt>
                <c:pt idx="10">
                  <c:v>74.545454545454547</c:v>
                </c:pt>
                <c:pt idx="11">
                  <c:v>69.090909090909093</c:v>
                </c:pt>
              </c:numCache>
            </c:numRef>
          </c:val>
        </c:ser>
        <c:ser>
          <c:idx val="1"/>
          <c:order val="1"/>
          <c:tx>
            <c:v>Consensus Score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Partn!$Y$12:$Y$23</c:f>
              <c:strCache>
                <c:ptCount val="12"/>
                <c:pt idx="0">
                  <c:v>1. Liens avec les politiques</c:v>
                </c:pt>
                <c:pt idx="1">
                  <c:v>2. Liens avec Secteur privé</c:v>
                </c:pt>
                <c:pt idx="2">
                  <c:v>3. Liens avec ONG</c:v>
                </c:pt>
                <c:pt idx="3">
                  <c:v>4. Liens avec autres CL</c:v>
                </c:pt>
                <c:pt idx="4">
                  <c:v>5. Partenariats avec Organisations</c:v>
                </c:pt>
                <c:pt idx="5">
                  <c:v>6. Suivi de l’efficacité</c:v>
                </c:pt>
                <c:pt idx="6">
                  <c:v>7. Avantages financiers</c:v>
                </c:pt>
                <c:pt idx="7">
                  <c:v>8. Compétences techniques</c:v>
                </c:pt>
                <c:pt idx="8">
                  <c:v>9. Relations et réseaux nouveaux</c:v>
                </c:pt>
                <c:pt idx="9">
                  <c:v>10. Informations partagées</c:v>
                </c:pt>
                <c:pt idx="10">
                  <c:v>11. Confiance et coopération</c:v>
                </c:pt>
                <c:pt idx="11">
                  <c:v>12. Objectifs partagés</c:v>
                </c:pt>
              </c:strCache>
            </c:strRef>
          </c:cat>
          <c:val>
            <c:numRef>
              <c:f>Partn!$X$12:$X$23</c:f>
              <c:numCache>
                <c:formatCode>0</c:formatCode>
                <c:ptCount val="12"/>
                <c:pt idx="0">
                  <c:v>48.21372593226868</c:v>
                </c:pt>
                <c:pt idx="1">
                  <c:v>62.462140323522583</c:v>
                </c:pt>
                <c:pt idx="2">
                  <c:v>48.654468194752951</c:v>
                </c:pt>
                <c:pt idx="3">
                  <c:v>41.612579187885778</c:v>
                </c:pt>
                <c:pt idx="4">
                  <c:v>54.773298313335452</c:v>
                </c:pt>
                <c:pt idx="5">
                  <c:v>60.687730344655179</c:v>
                </c:pt>
                <c:pt idx="6">
                  <c:v>54.773298313335452</c:v>
                </c:pt>
                <c:pt idx="7">
                  <c:v>64.967547512731471</c:v>
                </c:pt>
                <c:pt idx="8">
                  <c:v>79.774004126102739</c:v>
                </c:pt>
                <c:pt idx="9">
                  <c:v>56.306855124734852</c:v>
                </c:pt>
                <c:pt idx="10">
                  <c:v>54.773298313335452</c:v>
                </c:pt>
                <c:pt idx="11">
                  <c:v>58.990023386763781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337344"/>
        <c:axId val="97338880"/>
      </c:barChart>
      <c:catAx>
        <c:axId val="9733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7338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7338880"/>
        <c:scaling>
          <c:orientation val="minMax"/>
          <c:max val="100"/>
          <c:min val="2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Score</a:t>
                </a:r>
              </a:p>
            </c:rich>
          </c:tx>
          <c:layout>
            <c:manualLayout>
              <c:xMode val="edge"/>
              <c:yMode val="edge"/>
              <c:x val="7.2916666666666668E-3"/>
              <c:y val="0.40067340067340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7337344"/>
        <c:crosses val="autoZero"/>
        <c:crossBetween val="between"/>
        <c:majorUnit val="20"/>
        <c:min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"/>
          <c:y val="0.2053872053872054"/>
          <c:w val="0.28854166666666664"/>
          <c:h val="0.245791245791245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Total Scores</a:t>
            </a:r>
          </a:p>
        </c:rich>
      </c:tx>
      <c:layout>
        <c:manualLayout>
          <c:xMode val="edge"/>
          <c:yMode val="edge"/>
          <c:x val="0.34694011157350579"/>
          <c:y val="5.40534545857824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020577635315804E-2"/>
          <c:y val="0.30405505719177967"/>
          <c:w val="0.90136353822391257"/>
          <c:h val="0.439190638165903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 rtl="0"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Partn!$A$4</c:f>
              <c:numCache>
                <c:formatCode>0.00</c:formatCode>
                <c:ptCount val="1"/>
                <c:pt idx="0">
                  <c:v>68.531468531468533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Partn!$A$5</c:f>
              <c:numCache>
                <c:formatCode>0.00</c:formatCode>
                <c:ptCount val="1"/>
                <c:pt idx="0">
                  <c:v>74.934190973740016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673216"/>
        <c:axId val="97675136"/>
      </c:barChart>
      <c:catAx>
        <c:axId val="9767321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Capacity Score   Consensus Score</a:t>
                </a:r>
              </a:p>
            </c:rich>
          </c:tx>
          <c:layout>
            <c:manualLayout>
              <c:xMode val="edge"/>
              <c:yMode val="edge"/>
              <c:x val="0.12585092262706704"/>
              <c:y val="0.74324719973383602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97675136"/>
        <c:crosses val="autoZero"/>
        <c:auto val="1"/>
        <c:lblAlgn val="ctr"/>
        <c:lblOffset val="100"/>
        <c:noMultiLvlLbl val="0"/>
      </c:catAx>
      <c:valAx>
        <c:axId val="97675136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97673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Gouvernance et Gestion Strategique</a:t>
            </a:r>
          </a:p>
        </c:rich>
      </c:tx>
      <c:layout>
        <c:manualLayout>
          <c:xMode val="edge"/>
          <c:yMode val="edge"/>
          <c:x val="0.1874999863012948"/>
          <c:y val="3.3669929772291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70833333333332"/>
          <c:y val="0.15824915824915825"/>
          <c:w val="0.8208333333333333"/>
          <c:h val="0.53198653198653201"/>
        </c:manualLayout>
      </c:layout>
      <c:barChart>
        <c:barDir val="col"/>
        <c:grouping val="clustered"/>
        <c:varyColors val="0"/>
        <c:ser>
          <c:idx val="0"/>
          <c:order val="0"/>
          <c:tx>
            <c:v>Capacity Score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Gouv!$Y$12:$Y$26</c:f>
              <c:strCache>
                <c:ptCount val="15"/>
                <c:pt idx="0">
                  <c:v>1. Rapports aux bailleurs</c:v>
                </c:pt>
                <c:pt idx="1">
                  <c:v>2. Mobilisation de fonds</c:v>
                </c:pt>
                <c:pt idx="2">
                  <c:v>3. Relations publiques</c:v>
                </c:pt>
                <c:pt idx="3">
                  <c:v>4. Plaidoyer</c:v>
                </c:pt>
                <c:pt idx="4">
                  <c:v>5. Contrôle financier</c:v>
                </c:pt>
                <c:pt idx="5">
                  <c:v>6. Définition de politiques</c:v>
                </c:pt>
                <c:pt idx="6">
                  <c:v>7. Orientations stratégiques</c:v>
                </c:pt>
                <c:pt idx="7">
                  <c:v>8. Représentation selon bénéficiaires</c:v>
                </c:pt>
                <c:pt idx="8">
                  <c:v>9. Décisions du Conseil</c:v>
                </c:pt>
                <c:pt idx="9">
                  <c:v>10. Décisions du personnel</c:v>
                </c:pt>
                <c:pt idx="10">
                  <c:v>11. Personnel d’appoint</c:v>
                </c:pt>
                <c:pt idx="11">
                  <c:v>12. Environnement externe</c:v>
                </c:pt>
                <c:pt idx="12">
                  <c:v>13. Objectifs stratégiques</c:v>
                </c:pt>
                <c:pt idx="13">
                  <c:v>14. Initiatives conformes</c:v>
                </c:pt>
                <c:pt idx="14">
                  <c:v>15. Suivi régulier</c:v>
                </c:pt>
              </c:strCache>
            </c:strRef>
          </c:cat>
          <c:val>
            <c:numRef>
              <c:f>Gouv!$W$12:$W$26</c:f>
              <c:numCache>
                <c:formatCode>0</c:formatCode>
                <c:ptCount val="15"/>
                <c:pt idx="0">
                  <c:v>76.92307692307692</c:v>
                </c:pt>
                <c:pt idx="1">
                  <c:v>75.384615384615387</c:v>
                </c:pt>
                <c:pt idx="2">
                  <c:v>73.846153846153854</c:v>
                </c:pt>
                <c:pt idx="3">
                  <c:v>80</c:v>
                </c:pt>
                <c:pt idx="4">
                  <c:v>75.384615384615387</c:v>
                </c:pt>
                <c:pt idx="5">
                  <c:v>73.846153846153854</c:v>
                </c:pt>
                <c:pt idx="6">
                  <c:v>80</c:v>
                </c:pt>
                <c:pt idx="7">
                  <c:v>70.769230769230774</c:v>
                </c:pt>
                <c:pt idx="8">
                  <c:v>78.461538461538453</c:v>
                </c:pt>
                <c:pt idx="9">
                  <c:v>73.846153846153854</c:v>
                </c:pt>
                <c:pt idx="10">
                  <c:v>72.307692307692307</c:v>
                </c:pt>
                <c:pt idx="11">
                  <c:v>78.461538461538453</c:v>
                </c:pt>
                <c:pt idx="12">
                  <c:v>70.769230769230774</c:v>
                </c:pt>
                <c:pt idx="13">
                  <c:v>76.92307692307692</c:v>
                </c:pt>
                <c:pt idx="14">
                  <c:v>69.230769230769226</c:v>
                </c:pt>
              </c:numCache>
            </c:numRef>
          </c:val>
        </c:ser>
        <c:ser>
          <c:idx val="1"/>
          <c:order val="1"/>
          <c:tx>
            <c:v>Consensus Score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Gouv!$Y$12:$Y$26</c:f>
              <c:strCache>
                <c:ptCount val="15"/>
                <c:pt idx="0">
                  <c:v>1. Rapports aux bailleurs</c:v>
                </c:pt>
                <c:pt idx="1">
                  <c:v>2. Mobilisation de fonds</c:v>
                </c:pt>
                <c:pt idx="2">
                  <c:v>3. Relations publiques</c:v>
                </c:pt>
                <c:pt idx="3">
                  <c:v>4. Plaidoyer</c:v>
                </c:pt>
                <c:pt idx="4">
                  <c:v>5. Contrôle financier</c:v>
                </c:pt>
                <c:pt idx="5">
                  <c:v>6. Définition de politiques</c:v>
                </c:pt>
                <c:pt idx="6">
                  <c:v>7. Orientations stratégiques</c:v>
                </c:pt>
                <c:pt idx="7">
                  <c:v>8. Représentation selon bénéficiaires</c:v>
                </c:pt>
                <c:pt idx="8">
                  <c:v>9. Décisions du Conseil</c:v>
                </c:pt>
                <c:pt idx="9">
                  <c:v>10. Décisions du personnel</c:v>
                </c:pt>
                <c:pt idx="10">
                  <c:v>11. Personnel d’appoint</c:v>
                </c:pt>
                <c:pt idx="11">
                  <c:v>12. Environnement externe</c:v>
                </c:pt>
                <c:pt idx="12">
                  <c:v>13. Objectifs stratégiques</c:v>
                </c:pt>
                <c:pt idx="13">
                  <c:v>14. Initiatives conformes</c:v>
                </c:pt>
                <c:pt idx="14">
                  <c:v>15. Suivi régulier</c:v>
                </c:pt>
              </c:strCache>
            </c:strRef>
          </c:cat>
          <c:val>
            <c:numRef>
              <c:f>Gouv!$X$12:$X$26</c:f>
              <c:numCache>
                <c:formatCode>0</c:formatCode>
                <c:ptCount val="15"/>
                <c:pt idx="0">
                  <c:v>59.967961548728219</c:v>
                </c:pt>
                <c:pt idx="1">
                  <c:v>63.749447395900788</c:v>
                </c:pt>
                <c:pt idx="2">
                  <c:v>48.422326436175801</c:v>
                </c:pt>
                <c:pt idx="3">
                  <c:v>71.132486540518713</c:v>
                </c:pt>
                <c:pt idx="4">
                  <c:v>53.659565200185085</c:v>
                </c:pt>
                <c:pt idx="5">
                  <c:v>48.422326436175801</c:v>
                </c:pt>
                <c:pt idx="6">
                  <c:v>59.175170953613701</c:v>
                </c:pt>
                <c:pt idx="7">
                  <c:v>66.988735411323773</c:v>
                </c:pt>
                <c:pt idx="8">
                  <c:v>67.974369238982575</c:v>
                </c:pt>
                <c:pt idx="9">
                  <c:v>48.422326436175801</c:v>
                </c:pt>
                <c:pt idx="10">
                  <c:v>43.955146168219507</c:v>
                </c:pt>
                <c:pt idx="11">
                  <c:v>56.884175074871187</c:v>
                </c:pt>
                <c:pt idx="12">
                  <c:v>61.187498709690765</c:v>
                </c:pt>
                <c:pt idx="13">
                  <c:v>72.264990188738551</c:v>
                </c:pt>
                <c:pt idx="14">
                  <c:v>51.629103897657743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55264"/>
        <c:axId val="95765248"/>
      </c:barChart>
      <c:catAx>
        <c:axId val="95755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5765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5765248"/>
        <c:scaling>
          <c:orientation val="minMax"/>
          <c:max val="100"/>
          <c:min val="2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Score</a:t>
                </a:r>
              </a:p>
            </c:rich>
          </c:tx>
          <c:layout>
            <c:manualLayout>
              <c:xMode val="edge"/>
              <c:yMode val="edge"/>
              <c:x val="7.2916563926377674E-3"/>
              <c:y val="0.390572284883308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5755264"/>
        <c:crosses val="autoZero"/>
        <c:crossBetween val="between"/>
        <c:majorUnit val="20"/>
        <c:minorUnit val="1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"/>
          <c:y val="0.19360271689011846"/>
          <c:w val="0.28854163584457998"/>
          <c:h val="0.234006703553947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Total Scores</a:t>
            </a:r>
          </a:p>
        </c:rich>
      </c:tx>
      <c:layout>
        <c:manualLayout>
          <c:xMode val="edge"/>
          <c:yMode val="edge"/>
          <c:x val="0.35483940796060287"/>
          <c:y val="5.88243013740929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8387172988868743E-2"/>
          <c:y val="0.32353057333759383"/>
          <c:w val="0.90645304065814114"/>
          <c:h val="0.3970602490961379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 rtl="0"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Gouv!$A$4</c:f>
              <c:numCache>
                <c:formatCode>0.00</c:formatCode>
                <c:ptCount val="1"/>
                <c:pt idx="0">
                  <c:v>75.07692307692308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4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Gouv!$A$5</c:f>
              <c:numCache>
                <c:formatCode>0.00</c:formatCode>
                <c:ptCount val="1"/>
                <c:pt idx="0">
                  <c:v>76.141442431891051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849472"/>
        <c:axId val="95868032"/>
      </c:barChart>
      <c:catAx>
        <c:axId val="9584947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Capacity Score   Consensus Score</a:t>
                </a:r>
              </a:p>
            </c:rich>
          </c:tx>
          <c:layout>
            <c:manualLayout>
              <c:xMode val="edge"/>
              <c:yMode val="edge"/>
              <c:x val="0.14516178261222501"/>
              <c:y val="0.72059055118110238"/>
            </c:manualLayout>
          </c:layout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95868032"/>
        <c:crosses val="autoZero"/>
        <c:auto val="1"/>
        <c:lblAlgn val="ctr"/>
        <c:lblOffset val="100"/>
        <c:noMultiLvlLbl val="0"/>
      </c:catAx>
      <c:valAx>
        <c:axId val="95868032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958494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5" footer="0.5"/>
    <c:pageSetup paperSize="9" orientation="landscape"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afiek31111"/>
  <sheetViews>
    <sheetView zoomScale="70" workbookViewId="0"/>
  </sheetViews>
  <pageMargins left="0.78740157499999996" right="0.78740157499999996" top="0.984251969" bottom="0.984251969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afiek2"/>
  <sheetViews>
    <sheetView zoomScale="85" workbookViewId="0"/>
  </sheetViews>
  <pageMargins left="0.78740157499999996" right="0.78740157499999996" top="0.984251969" bottom="0.984251969" header="0.5" footer="0.5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Grafiek3"/>
  <sheetViews>
    <sheetView zoomScale="70" workbookViewId="0"/>
  </sheetViews>
  <pageMargins left="0.78740157499999996" right="0.78740157499999996" top="0.984251969" bottom="0.984251969" header="0.5" footer="0.5"/>
  <pageSetup paperSize="9"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Grafiek31"/>
  <sheetViews>
    <sheetView zoomScale="70" workbookViewId="0"/>
  </sheetViews>
  <pageMargins left="0.78740157499999996" right="0.78740157499999996" top="0.984251969" bottom="0.984251969" header="0.5" footer="0.5"/>
  <pageSetup paperSize="9"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Grafiek311"/>
  <sheetViews>
    <sheetView zoomScale="70" workbookViewId="0"/>
  </sheetViews>
  <pageMargins left="0.78740157499999996" right="0.78740157499999996" top="0.984251969" bottom="0.984251969" header="0.5" footer="0.5"/>
  <pageSetup paperSize="9"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Grafiek32"/>
  <sheetViews>
    <sheetView zoomScale="85" workbookViewId="0"/>
  </sheetViews>
  <pageMargins left="0.78740157499999996" right="0.78740157499999996" top="0.984251969" bottom="0.984251969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123825</xdr:rowOff>
    </xdr:from>
    <xdr:to>
      <xdr:col>6</xdr:col>
      <xdr:colOff>342900</xdr:colOff>
      <xdr:row>34</xdr:row>
      <xdr:rowOff>152400</xdr:rowOff>
    </xdr:to>
    <xdr:graphicFrame macro="">
      <xdr:nvGraphicFramePr>
        <xdr:cNvPr id="24874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542925</xdr:colOff>
      <xdr:row>12</xdr:row>
      <xdr:rowOff>123825</xdr:rowOff>
    </xdr:from>
    <xdr:to>
      <xdr:col>14</xdr:col>
      <xdr:colOff>0</xdr:colOff>
      <xdr:row>33</xdr:row>
      <xdr:rowOff>152400</xdr:rowOff>
    </xdr:to>
    <xdr:graphicFrame macro="">
      <xdr:nvGraphicFramePr>
        <xdr:cNvPr id="24875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533400</xdr:colOff>
      <xdr:row>35</xdr:row>
      <xdr:rowOff>28575</xdr:rowOff>
    </xdr:from>
    <xdr:to>
      <xdr:col>13</xdr:col>
      <xdr:colOff>581025</xdr:colOff>
      <xdr:row>51</xdr:row>
      <xdr:rowOff>152400</xdr:rowOff>
    </xdr:to>
    <xdr:graphicFrame macro="">
      <xdr:nvGraphicFramePr>
        <xdr:cNvPr id="24876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519340</xdr:colOff>
      <xdr:row>22</xdr:row>
      <xdr:rowOff>61232</xdr:rowOff>
    </xdr:from>
    <xdr:to>
      <xdr:col>2</xdr:col>
      <xdr:colOff>82778</xdr:colOff>
      <xdr:row>23</xdr:row>
      <xdr:rowOff>140607</xdr:rowOff>
    </xdr:to>
    <xdr:sp macro="" textlink="">
      <xdr:nvSpPr>
        <xdr:cNvPr id="2" name="ZoneTexte 1"/>
        <xdr:cNvSpPr txBox="1"/>
      </xdr:nvSpPr>
      <xdr:spPr>
        <a:xfrm>
          <a:off x="519340" y="3735161"/>
          <a:ext cx="733652" cy="242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Moyenne</a:t>
          </a:r>
        </a:p>
        <a:p>
          <a:endParaRPr lang="fr-FR" sz="1100"/>
        </a:p>
      </xdr:txBody>
    </xdr:sp>
    <xdr:clientData/>
  </xdr:twoCellAnchor>
  <xdr:twoCellAnchor>
    <xdr:from>
      <xdr:col>2</xdr:col>
      <xdr:colOff>108859</xdr:colOff>
      <xdr:row>21</xdr:row>
      <xdr:rowOff>74839</xdr:rowOff>
    </xdr:from>
    <xdr:to>
      <xdr:col>3</xdr:col>
      <xdr:colOff>5671</xdr:colOff>
      <xdr:row>22</xdr:row>
      <xdr:rowOff>158749</xdr:rowOff>
    </xdr:to>
    <xdr:sp macro="" textlink="">
      <xdr:nvSpPr>
        <xdr:cNvPr id="3" name="ZoneTexte 2"/>
        <xdr:cNvSpPr txBox="1"/>
      </xdr:nvSpPr>
      <xdr:spPr>
        <a:xfrm>
          <a:off x="1279073" y="3585482"/>
          <a:ext cx="481919" cy="2471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GRF</a:t>
          </a:r>
        </a:p>
      </xdr:txBody>
    </xdr:sp>
    <xdr:clientData/>
  </xdr:twoCellAnchor>
  <xdr:twoCellAnchor>
    <xdr:from>
      <xdr:col>2</xdr:col>
      <xdr:colOff>137205</xdr:colOff>
      <xdr:row>24</xdr:row>
      <xdr:rowOff>161018</xdr:rowOff>
    </xdr:from>
    <xdr:to>
      <xdr:col>3</xdr:col>
      <xdr:colOff>18142</xdr:colOff>
      <xdr:row>26</xdr:row>
      <xdr:rowOff>97519</xdr:rowOff>
    </xdr:to>
    <xdr:sp macro="" textlink="">
      <xdr:nvSpPr>
        <xdr:cNvPr id="4" name="ZoneTexte 3"/>
        <xdr:cNvSpPr txBox="1"/>
      </xdr:nvSpPr>
      <xdr:spPr>
        <a:xfrm>
          <a:off x="1307419" y="4161518"/>
          <a:ext cx="466044" cy="2630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GRH</a:t>
          </a:r>
        </a:p>
      </xdr:txBody>
    </xdr:sp>
    <xdr:clientData/>
  </xdr:twoCellAnchor>
  <xdr:twoCellAnchor>
    <xdr:from>
      <xdr:col>3</xdr:col>
      <xdr:colOff>415018</xdr:colOff>
      <xdr:row>23</xdr:row>
      <xdr:rowOff>156483</xdr:rowOff>
    </xdr:from>
    <xdr:to>
      <xdr:col>4</xdr:col>
      <xdr:colOff>470580</xdr:colOff>
      <xdr:row>25</xdr:row>
      <xdr:rowOff>88446</xdr:rowOff>
    </xdr:to>
    <xdr:sp macro="" textlink="">
      <xdr:nvSpPr>
        <xdr:cNvPr id="5" name="ZoneTexte 4"/>
        <xdr:cNvSpPr txBox="1"/>
      </xdr:nvSpPr>
      <xdr:spPr>
        <a:xfrm>
          <a:off x="2170339" y="3993697"/>
          <a:ext cx="640670" cy="258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PARTIC</a:t>
          </a:r>
        </a:p>
      </xdr:txBody>
    </xdr:sp>
    <xdr:clientData/>
  </xdr:twoCellAnchor>
  <xdr:twoCellAnchor>
    <xdr:from>
      <xdr:col>4</xdr:col>
      <xdr:colOff>81644</xdr:colOff>
      <xdr:row>20</xdr:row>
      <xdr:rowOff>94116</xdr:rowOff>
    </xdr:from>
    <xdr:to>
      <xdr:col>4</xdr:col>
      <xdr:colOff>661081</xdr:colOff>
      <xdr:row>22</xdr:row>
      <xdr:rowOff>30616</xdr:rowOff>
    </xdr:to>
    <xdr:sp macro="" textlink="">
      <xdr:nvSpPr>
        <xdr:cNvPr id="6" name="ZoneTexte 5"/>
        <xdr:cNvSpPr txBox="1"/>
      </xdr:nvSpPr>
      <xdr:spPr>
        <a:xfrm>
          <a:off x="2422073" y="3441473"/>
          <a:ext cx="579437" cy="2630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GOUV</a:t>
          </a:r>
        </a:p>
      </xdr:txBody>
    </xdr:sp>
    <xdr:clientData/>
  </xdr:twoCellAnchor>
  <xdr:twoCellAnchor>
    <xdr:from>
      <xdr:col>3</xdr:col>
      <xdr:colOff>369661</xdr:colOff>
      <xdr:row>25</xdr:row>
      <xdr:rowOff>109991</xdr:rowOff>
    </xdr:from>
    <xdr:to>
      <xdr:col>4</xdr:col>
      <xdr:colOff>387803</xdr:colOff>
      <xdr:row>27</xdr:row>
      <xdr:rowOff>30616</xdr:rowOff>
    </xdr:to>
    <xdr:sp macro="" textlink="">
      <xdr:nvSpPr>
        <xdr:cNvPr id="7" name="ZoneTexte 6"/>
        <xdr:cNvSpPr txBox="1"/>
      </xdr:nvSpPr>
      <xdr:spPr>
        <a:xfrm>
          <a:off x="2124982" y="4273777"/>
          <a:ext cx="603250" cy="2471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DURAB</a:t>
          </a:r>
        </a:p>
      </xdr:txBody>
    </xdr:sp>
    <xdr:clientData/>
  </xdr:twoCellAnchor>
  <xdr:twoCellAnchor>
    <xdr:from>
      <xdr:col>2</xdr:col>
      <xdr:colOff>559027</xdr:colOff>
      <xdr:row>20</xdr:row>
      <xdr:rowOff>41957</xdr:rowOff>
    </xdr:from>
    <xdr:to>
      <xdr:col>4</xdr:col>
      <xdr:colOff>54428</xdr:colOff>
      <xdr:row>21</xdr:row>
      <xdr:rowOff>121332</xdr:rowOff>
    </xdr:to>
    <xdr:sp macro="" textlink="">
      <xdr:nvSpPr>
        <xdr:cNvPr id="8" name="ZoneTexte 7"/>
        <xdr:cNvSpPr txBox="1"/>
      </xdr:nvSpPr>
      <xdr:spPr>
        <a:xfrm>
          <a:off x="1729241" y="3389314"/>
          <a:ext cx="665616" cy="2426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PARTEN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0.01185</cdr:x>
      <cdr:y>0.14219</cdr:y>
    </cdr:from>
    <cdr:to>
      <cdr:x>0.06164</cdr:x>
      <cdr:y>0.20029</cdr:y>
    </cdr:to>
    <cdr:sp macro="" textlink="">
      <cdr:nvSpPr>
        <cdr:cNvPr id="25603" name="Rectangle 3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492112"/>
          <a:ext cx="200139" cy="1997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FRM</a:t>
          </a: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0.01185</cdr:x>
      <cdr:y>0.07438</cdr:y>
    </cdr:from>
    <cdr:to>
      <cdr:x>0.08068</cdr:x>
      <cdr:y>0.11594</cdr:y>
    </cdr:to>
    <cdr:sp macro="" textlink="">
      <cdr:nvSpPr>
        <cdr:cNvPr id="25604" name="Rectangle 4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58919"/>
          <a:ext cx="276663" cy="142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HRM</a:t>
          </a: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0.01185</cdr:x>
      <cdr:y>0.20077</cdr:y>
    </cdr:from>
    <cdr:to>
      <cdr:x>0.08068</cdr:x>
      <cdr:y>0.24234</cdr:y>
    </cdr:to>
    <cdr:sp macro="" textlink="">
      <cdr:nvSpPr>
        <cdr:cNvPr id="25606" name="Rectangle 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93545"/>
          <a:ext cx="276663" cy="142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Partn.</a:t>
          </a: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0.01185</cdr:x>
      <cdr:y>0.26446</cdr:y>
    </cdr:from>
    <cdr:to>
      <cdr:x>0.08068</cdr:x>
      <cdr:y>0.30603</cdr:y>
    </cdr:to>
    <cdr:sp macro="" textlink="">
      <cdr:nvSpPr>
        <cdr:cNvPr id="25607" name="Rectangle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912529"/>
          <a:ext cx="276663" cy="142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Sust</a:t>
          </a: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0.20564</cdr:x>
      <cdr:y>0.01385</cdr:y>
    </cdr:from>
    <cdr:to>
      <cdr:x>0.26495</cdr:x>
      <cdr:y>0.05542</cdr:y>
    </cdr:to>
    <cdr:sp macro="" textlink="">
      <cdr:nvSpPr>
        <cdr:cNvPr id="25608" name="Rectangle 8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9774" y="50800"/>
          <a:ext cx="238401" cy="142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Gov</a:t>
          </a: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0.294</cdr:x>
      <cdr:y>0.01385</cdr:y>
    </cdr:from>
    <cdr:to>
      <cdr:x>0.39114</cdr:x>
      <cdr:y>0.05542</cdr:y>
    </cdr:to>
    <cdr:sp macro="" textlink="">
      <cdr:nvSpPr>
        <cdr:cNvPr id="25609" name="Rectangle 9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84923" y="50800"/>
          <a:ext cx="390468" cy="142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Eq.Part.</a:t>
          </a: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0.01185</cdr:x>
      <cdr:y>0.01385</cdr:y>
    </cdr:from>
    <cdr:to>
      <cdr:x>0.04968</cdr:x>
      <cdr:y>0.05542</cdr:y>
    </cdr:to>
    <cdr:sp macro="" textlink="">
      <cdr:nvSpPr>
        <cdr:cNvPr id="25610" name="Rectangle 10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152067" cy="142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OL</a:t>
          </a:r>
        </a:p>
      </cdr:txBody>
    </cdr:sp>
  </cdr:relSizeAnchor>
  <cdr:relSizeAnchor xmlns:cdr="http://schemas.openxmlformats.org/drawingml/2006/chartDrawing">
    <cdr:from>
      <cdr:x>0.13901</cdr:x>
      <cdr:y>0.76738</cdr:y>
    </cdr:from>
    <cdr:to>
      <cdr:x>0.29302</cdr:x>
      <cdr:y>0.82548</cdr:y>
    </cdr:to>
    <cdr:sp macro="" textlink="">
      <cdr:nvSpPr>
        <cdr:cNvPr id="25611" name="Rectangle 1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1940" y="2641838"/>
          <a:ext cx="619058" cy="1997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Faible capacite/</a:t>
          </a:r>
        </a:p>
        <a:p xmlns:a="http://schemas.openxmlformats.org/drawingml/2006/main">
          <a:pPr algn="l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faible consensus</a:t>
          </a:r>
        </a:p>
      </cdr:txBody>
    </cdr:sp>
  </cdr:relSizeAnchor>
  <cdr:relSizeAnchor xmlns:cdr="http://schemas.openxmlformats.org/drawingml/2006/chartDrawing">
    <cdr:from>
      <cdr:x>0.7946</cdr:x>
      <cdr:y>0.75401</cdr:y>
    </cdr:from>
    <cdr:to>
      <cdr:x>0.94861</cdr:x>
      <cdr:y>0.82329</cdr:y>
    </cdr:to>
    <cdr:sp macro="" textlink="">
      <cdr:nvSpPr>
        <cdr:cNvPr id="25614" name="Rectangle 14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97108" y="2595868"/>
          <a:ext cx="619058" cy="2382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capacite eleve /</a:t>
          </a:r>
        </a:p>
        <a:p xmlns:a="http://schemas.openxmlformats.org/drawingml/2006/main">
          <a:pPr algn="l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faible consensus /</a:t>
          </a:r>
        </a:p>
        <a:p xmlns:a="http://schemas.openxmlformats.org/drawingml/2006/main">
          <a:pPr algn="l" rtl="0">
            <a:defRPr sz="1000"/>
          </a:pPr>
          <a:endParaRPr lang="fr-FR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0.7946</cdr:x>
      <cdr:y>0.14001</cdr:y>
    </cdr:from>
    <cdr:to>
      <cdr:x>0.94861</cdr:x>
      <cdr:y>0.1981</cdr:y>
    </cdr:to>
    <cdr:sp macro="" textlink="">
      <cdr:nvSpPr>
        <cdr:cNvPr id="25615" name="Rectangle 1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97108" y="484590"/>
          <a:ext cx="619058" cy="1997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Capacite eleve /</a:t>
          </a:r>
        </a:p>
        <a:p xmlns:a="http://schemas.openxmlformats.org/drawingml/2006/main">
          <a:pPr algn="l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Consensus eleve</a:t>
          </a:r>
        </a:p>
      </cdr:txBody>
    </cdr:sp>
  </cdr:relSizeAnchor>
  <cdr:relSizeAnchor xmlns:cdr="http://schemas.openxmlformats.org/drawingml/2006/chartDrawing">
    <cdr:from>
      <cdr:x>0.13901</cdr:x>
      <cdr:y>0.14001</cdr:y>
    </cdr:from>
    <cdr:to>
      <cdr:x>0.29302</cdr:x>
      <cdr:y>0.1981</cdr:y>
    </cdr:to>
    <cdr:sp macro="" textlink="">
      <cdr:nvSpPr>
        <cdr:cNvPr id="25616" name="Rectangle 1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1940" y="484590"/>
          <a:ext cx="619058" cy="1997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Faible capacite /</a:t>
          </a:r>
        </a:p>
        <a:p xmlns:a="http://schemas.openxmlformats.org/drawingml/2006/main">
          <a:pPr algn="l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Consensus eleve</a:t>
          </a:r>
        </a:p>
      </cdr:txBody>
    </cdr:sp>
  </cdr:relSizeAnchor>
  <cdr:relSizeAnchor xmlns:cdr="http://schemas.openxmlformats.org/drawingml/2006/chartDrawing">
    <cdr:from>
      <cdr:x>0.36893</cdr:x>
      <cdr:y>0.07438</cdr:y>
    </cdr:from>
    <cdr:to>
      <cdr:x>0.73871</cdr:x>
      <cdr:y>0.14365</cdr:y>
    </cdr:to>
    <cdr:sp macro="" textlink="">
      <cdr:nvSpPr>
        <cdr:cNvPr id="25617" name="Rectangle 1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86113" y="258919"/>
          <a:ext cx="1486328" cy="2382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Organisational Capacities</a:t>
          </a:r>
        </a:p>
      </cdr:txBody>
    </cdr:sp>
  </cdr:relSizeAnchor>
  <cdr:relSizeAnchor xmlns:cdr="http://schemas.openxmlformats.org/drawingml/2006/chartDrawing">
    <cdr:from>
      <cdr:x>0.09874</cdr:x>
      <cdr:y>0.01385</cdr:y>
    </cdr:from>
    <cdr:to>
      <cdr:x>0.2054</cdr:x>
      <cdr:y>0.05542</cdr:y>
    </cdr:to>
    <cdr:sp macro="" textlink="">
      <cdr:nvSpPr>
        <cdr:cNvPr id="25618" name="Rectangle 18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063" y="50800"/>
          <a:ext cx="428729" cy="142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0" tIns="0" rIns="0" bIns="0" anchor="t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Moyenne</a:t>
          </a: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0.01272</cdr:x>
      <cdr:y>0.01511</cdr:y>
    </cdr:from>
    <cdr:to>
      <cdr:x>0.19754</cdr:x>
      <cdr:y>0.08593</cdr:y>
    </cdr:to>
    <cdr:sp macro="" textlink="">
      <cdr:nvSpPr>
        <cdr:cNvPr id="16" name="ZoneTexte 1"/>
        <cdr:cNvSpPr txBox="1"/>
      </cdr:nvSpPr>
      <cdr:spPr>
        <a:xfrm xmlns:a="http://schemas.openxmlformats.org/drawingml/2006/main">
          <a:off x="50800" y="50800"/>
          <a:ext cx="738188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lang="fr-FR" sz="1100"/>
            <a:t>Moyenne</a:t>
          </a:r>
        </a:p>
        <a:p xmlns:a="http://schemas.openxmlformats.org/drawingml/2006/main">
          <a:pPr>
            <a:lnSpc>
              <a:spcPts val="1200"/>
            </a:lnSpc>
          </a:pPr>
          <a:endParaRPr lang="fr-FR" sz="1100"/>
        </a:p>
      </cdr:txBody>
    </cdr:sp>
  </cdr:relSizeAnchor>
  <cdr:relSizeAnchor xmlns:cdr="http://schemas.openxmlformats.org/drawingml/2006/chartDrawing">
    <cdr:from>
      <cdr:x>0.01272</cdr:x>
      <cdr:y>0.01511</cdr:y>
    </cdr:from>
    <cdr:to>
      <cdr:x>0.19754</cdr:x>
      <cdr:y>0.08593</cdr:y>
    </cdr:to>
    <cdr:sp macro="" textlink="">
      <cdr:nvSpPr>
        <cdr:cNvPr id="19" name="ZoneTexte 1"/>
        <cdr:cNvSpPr txBox="1"/>
      </cdr:nvSpPr>
      <cdr:spPr>
        <a:xfrm xmlns:a="http://schemas.openxmlformats.org/drawingml/2006/main">
          <a:off x="50800" y="50800"/>
          <a:ext cx="738188" cy="2381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lang="fr-FR" sz="1100"/>
            <a:t>Moyenne</a:t>
          </a:r>
        </a:p>
        <a:p xmlns:a="http://schemas.openxmlformats.org/drawingml/2006/main">
          <a:pPr>
            <a:lnSpc>
              <a:spcPts val="1200"/>
            </a:lnSpc>
          </a:pPr>
          <a:endParaRPr lang="fr-FR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24950" cy="563880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0.72</cdr:x>
      <cdr:y>0.0045</cdr:y>
    </cdr:from>
    <cdr:to>
      <cdr:x>0.9955</cdr:x>
      <cdr:y>0.279</cdr:y>
    </cdr:to>
    <cdr:graphicFrame macro="">
      <cdr:nvGraphicFramePr>
        <cdr:cNvPr id="21553" name="Chart 49"/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124950" cy="563880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0.27375</cdr:x>
      <cdr:y>0.9355</cdr:y>
    </cdr:from>
    <cdr:to>
      <cdr:x>0.4445</cdr:x>
      <cdr:y>0.99275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03170" y="5292919"/>
          <a:ext cx="1561338" cy="3239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 niveau de cette ressource est stable ou croissante</a:t>
          </a:r>
        </a:p>
        <a:p xmlns:a="http://schemas.openxmlformats.org/drawingml/2006/main">
          <a:pPr algn="l" rtl="0">
            <a:defRPr sz="1000"/>
          </a:pPr>
          <a:endParaRPr lang="fr-FR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0.2945</cdr:x>
      <cdr:y>0.99425</cdr:y>
    </cdr:from>
    <cdr:to>
      <cdr:x>0.4405</cdr:x>
      <cdr:y>0.99425</cdr:y>
    </cdr:to>
    <cdr:sp macro="" textlink="">
      <cdr:nvSpPr>
        <cdr:cNvPr id="3076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692908" y="5625317"/>
          <a:ext cx="1335024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0.24875</cdr:x>
      <cdr:y>0.992</cdr:y>
    </cdr:from>
    <cdr:to>
      <cdr:x>0.24875</cdr:x>
      <cdr:y>0.99375</cdr:y>
    </cdr:to>
    <cdr:sp macro="" textlink="">
      <cdr:nvSpPr>
        <cdr:cNvPr id="3078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274570" y="5612587"/>
          <a:ext cx="0" cy="990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0.38725</cdr:x>
      <cdr:y>0.992</cdr:y>
    </cdr:from>
    <cdr:to>
      <cdr:x>0.38725</cdr:x>
      <cdr:y>0.99375</cdr:y>
    </cdr:to>
    <cdr:sp macro="" textlink="">
      <cdr:nvSpPr>
        <cdr:cNvPr id="3079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541014" y="5612587"/>
          <a:ext cx="0" cy="990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0.7035</cdr:x>
      <cdr:y>0.99625</cdr:y>
    </cdr:from>
    <cdr:to>
      <cdr:x>0.934</cdr:x>
      <cdr:y>0.99625</cdr:y>
    </cdr:to>
    <cdr:sp macro="" textlink="">
      <cdr:nvSpPr>
        <cdr:cNvPr id="3080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6432804" y="5636633"/>
          <a:ext cx="2107692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0.627</cdr:x>
      <cdr:y>0.99575</cdr:y>
    </cdr:from>
    <cdr:to>
      <cdr:x>0.627</cdr:x>
      <cdr:y>0.997</cdr:y>
    </cdr:to>
    <cdr:sp macro="" textlink="">
      <cdr:nvSpPr>
        <cdr:cNvPr id="3081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33288" y="5633804"/>
          <a:ext cx="0" cy="707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0.87975</cdr:x>
      <cdr:y>0.99575</cdr:y>
    </cdr:from>
    <cdr:to>
      <cdr:x>0.8815</cdr:x>
      <cdr:y>0.997</cdr:y>
    </cdr:to>
    <cdr:sp macro="" textlink="">
      <cdr:nvSpPr>
        <cdr:cNvPr id="3082" name="Line 1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8044434" y="5633804"/>
          <a:ext cx="16002" cy="707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0.65825</cdr:x>
      <cdr:y>0.0045</cdr:y>
    </cdr:from>
    <cdr:to>
      <cdr:x>0.99025</cdr:x>
      <cdr:y>0.2275</cdr:y>
    </cdr:to>
    <cdr:graphicFrame macro="">
      <cdr:nvGraphicFramePr>
        <cdr:cNvPr id="3684" name="Chart 612"/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0.46975</cdr:x>
      <cdr:y>0.93725</cdr:y>
    </cdr:from>
    <cdr:to>
      <cdr:x>0.602</cdr:x>
      <cdr:y>0.99275</cdr:y>
    </cdr:to>
    <cdr:sp macro="" textlink="">
      <cdr:nvSpPr>
        <cdr:cNvPr id="3084" name="Text Box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95394" y="5302820"/>
          <a:ext cx="1209294" cy="3140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Mesures pour accroitre cette source</a:t>
          </a:r>
        </a:p>
      </cdr:txBody>
    </cdr:sp>
  </cdr:relSizeAnchor>
  <cdr:relSizeAnchor xmlns:cdr="http://schemas.openxmlformats.org/drawingml/2006/chartDrawing">
    <cdr:from>
      <cdr:x>0.7035</cdr:x>
      <cdr:y>0.92575</cdr:y>
    </cdr:from>
    <cdr:to>
      <cdr:x>0.917</cdr:x>
      <cdr:y>0.99475</cdr:y>
    </cdr:to>
    <cdr:sp macro="" textlink="">
      <cdr:nvSpPr>
        <cdr:cNvPr id="3088" name="Text Box 1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32804" y="5237755"/>
          <a:ext cx="1952244" cy="3903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Niveau approprie des ressoruces pour cette categorie</a:t>
          </a:r>
        </a:p>
      </cdr:txBody>
    </cdr:sp>
  </cdr:relSizeAnchor>
  <cdr:relSizeAnchor xmlns:cdr="http://schemas.openxmlformats.org/drawingml/2006/chartDrawing">
    <cdr:from>
      <cdr:x>0.46375</cdr:x>
      <cdr:y>0.99425</cdr:y>
    </cdr:from>
    <cdr:to>
      <cdr:x>0.6125</cdr:x>
      <cdr:y>0.99425</cdr:y>
    </cdr:to>
    <cdr:sp macro="" textlink="">
      <cdr:nvSpPr>
        <cdr:cNvPr id="3089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240530" y="5625317"/>
          <a:ext cx="136017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0.4405</cdr:x>
      <cdr:y>0.992</cdr:y>
    </cdr:from>
    <cdr:to>
      <cdr:x>0.4405</cdr:x>
      <cdr:y>0.99375</cdr:y>
    </cdr:to>
    <cdr:sp macro="" textlink="">
      <cdr:nvSpPr>
        <cdr:cNvPr id="3090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027932" y="5612587"/>
          <a:ext cx="0" cy="990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0.57975</cdr:x>
      <cdr:y>0.992</cdr:y>
    </cdr:from>
    <cdr:to>
      <cdr:x>0.5815</cdr:x>
      <cdr:y>0.99375</cdr:y>
    </cdr:to>
    <cdr:sp macro="" textlink="">
      <cdr:nvSpPr>
        <cdr:cNvPr id="3091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301234" y="5612587"/>
          <a:ext cx="16002" cy="990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130393" cy="564696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0.03425</cdr:x>
      <cdr:y>0.95225</cdr:y>
    </cdr:from>
    <cdr:to>
      <cdr:x>0.24875</cdr:x>
      <cdr:y>0.996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3182" y="5387688"/>
          <a:ext cx="1961388" cy="247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Participation des acteurs</a:t>
          </a:r>
        </a:p>
      </cdr:txBody>
    </cdr:sp>
  </cdr:relSizeAnchor>
  <cdr:relSizeAnchor xmlns:cdr="http://schemas.openxmlformats.org/drawingml/2006/chartDrawing">
    <cdr:from>
      <cdr:x>0.03425</cdr:x>
      <cdr:y>0.9965</cdr:y>
    </cdr:from>
    <cdr:to>
      <cdr:x>0.199</cdr:x>
      <cdr:y>0.9965</cdr:y>
    </cdr:to>
    <cdr:sp macro="" textlink="">
      <cdr:nvSpPr>
        <cdr:cNvPr id="717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13182" y="5638048"/>
          <a:ext cx="1506474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0.0065</cdr:x>
      <cdr:y>0.9965</cdr:y>
    </cdr:from>
    <cdr:to>
      <cdr:x>0.0065</cdr:x>
      <cdr:y>0.997</cdr:y>
    </cdr:to>
    <cdr:sp macro="" textlink="">
      <cdr:nvSpPr>
        <cdr:cNvPr id="717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9436" y="5638048"/>
          <a:ext cx="0" cy="282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0.16725</cdr:x>
      <cdr:y>0.9965</cdr:y>
    </cdr:from>
    <cdr:to>
      <cdr:x>0.168</cdr:x>
      <cdr:y>0.997</cdr:y>
    </cdr:to>
    <cdr:sp macro="" textlink="">
      <cdr:nvSpPr>
        <cdr:cNvPr id="717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529334" y="5638048"/>
          <a:ext cx="6858" cy="282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0.6205</cdr:x>
      <cdr:y>0.0045</cdr:y>
    </cdr:from>
    <cdr:to>
      <cdr:x>0.993</cdr:x>
      <cdr:y>0.296</cdr:y>
    </cdr:to>
    <cdr:graphicFrame macro="">
      <cdr:nvGraphicFramePr>
        <cdr:cNvPr id="7407" name="Chart 239"/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0.05675</cdr:x>
      <cdr:y>0.96025</cdr:y>
    </cdr:from>
    <cdr:to>
      <cdr:x>0.27125</cdr:x>
      <cdr:y>0.994</cdr:y>
    </cdr:to>
    <cdr:sp macro="" textlink="">
      <cdr:nvSpPr>
        <cdr:cNvPr id="1228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8922" y="5432950"/>
          <a:ext cx="1961388" cy="190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Durabilite au cours de la conception</a:t>
          </a:r>
        </a:p>
      </cdr:txBody>
    </cdr:sp>
  </cdr:relSizeAnchor>
  <cdr:relSizeAnchor xmlns:cdr="http://schemas.openxmlformats.org/drawingml/2006/chartDrawing">
    <cdr:from>
      <cdr:x>0.05675</cdr:x>
      <cdr:y>0.9945</cdr:y>
    </cdr:from>
    <cdr:to>
      <cdr:x>0.29925</cdr:x>
      <cdr:y>0.9965</cdr:y>
    </cdr:to>
    <cdr:sp macro="" textlink="">
      <cdr:nvSpPr>
        <cdr:cNvPr id="1229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18922" y="5626732"/>
          <a:ext cx="2217420" cy="1131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0.01225</cdr:x>
      <cdr:y>0.996</cdr:y>
    </cdr:from>
    <cdr:to>
      <cdr:x>0.01275</cdr:x>
      <cdr:y>0.9965</cdr:y>
    </cdr:to>
    <cdr:sp macro="" textlink="">
      <cdr:nvSpPr>
        <cdr:cNvPr id="1229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12014" y="5635219"/>
          <a:ext cx="4572" cy="282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0.17875</cdr:x>
      <cdr:y>0.996</cdr:y>
    </cdr:from>
    <cdr:to>
      <cdr:x>0.1795</cdr:x>
      <cdr:y>0.9965</cdr:y>
    </cdr:to>
    <cdr:sp macro="" textlink="">
      <cdr:nvSpPr>
        <cdr:cNvPr id="1229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634490" y="5635219"/>
          <a:ext cx="6858" cy="282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0.81875</cdr:x>
      <cdr:y>0.0045</cdr:y>
    </cdr:from>
    <cdr:to>
      <cdr:x>0.99</cdr:x>
      <cdr:y>0.17025</cdr:y>
    </cdr:to>
    <cdr:graphicFrame macro="">
      <cdr:nvGraphicFramePr>
        <cdr:cNvPr id="12891" name="Chart 603"/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0.29925</cdr:x>
      <cdr:y>0.96025</cdr:y>
    </cdr:from>
    <cdr:to>
      <cdr:x>0.53375</cdr:x>
      <cdr:y>0.9905</cdr:y>
    </cdr:to>
    <cdr:sp macro="" textlink="">
      <cdr:nvSpPr>
        <cdr:cNvPr id="12294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36342" y="5432950"/>
          <a:ext cx="2144268" cy="1711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Durabilite au cours  de la mise en oeuvre</a:t>
          </a:r>
        </a:p>
      </cdr:txBody>
    </cdr:sp>
  </cdr:relSizeAnchor>
  <cdr:relSizeAnchor xmlns:cdr="http://schemas.openxmlformats.org/drawingml/2006/chartDrawing">
    <cdr:from>
      <cdr:x>0.31175</cdr:x>
      <cdr:y>0.9945</cdr:y>
    </cdr:from>
    <cdr:to>
      <cdr:x>0.56025</cdr:x>
      <cdr:y>0.9965</cdr:y>
    </cdr:to>
    <cdr:sp macro="" textlink="">
      <cdr:nvSpPr>
        <cdr:cNvPr id="1229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850642" y="5626732"/>
          <a:ext cx="2272284" cy="1131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0.2085</cdr:x>
      <cdr:y>0.996</cdr:y>
    </cdr:from>
    <cdr:to>
      <cdr:x>0.2085</cdr:x>
      <cdr:y>0.9965</cdr:y>
    </cdr:to>
    <cdr:sp macro="" textlink="">
      <cdr:nvSpPr>
        <cdr:cNvPr id="1229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906524" y="5635219"/>
          <a:ext cx="0" cy="282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0.51175</cdr:x>
      <cdr:y>0.996</cdr:y>
    </cdr:from>
    <cdr:to>
      <cdr:x>0.5135</cdr:x>
      <cdr:y>0.9965</cdr:y>
    </cdr:to>
    <cdr:sp macro="" textlink="">
      <cdr:nvSpPr>
        <cdr:cNvPr id="1229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679442" y="5635219"/>
          <a:ext cx="16002" cy="282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0.59275</cdr:x>
      <cdr:y>0.96025</cdr:y>
    </cdr:from>
    <cdr:to>
      <cdr:x>0.8095</cdr:x>
      <cdr:y>0.98375</cdr:y>
    </cdr:to>
    <cdr:sp macro="" textlink="">
      <cdr:nvSpPr>
        <cdr:cNvPr id="12298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20106" y="5432950"/>
          <a:ext cx="1981962" cy="1329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Durabilite au cours du S&amp;E</a:t>
          </a:r>
        </a:p>
      </cdr:txBody>
    </cdr:sp>
  </cdr:relSizeAnchor>
  <cdr:relSizeAnchor xmlns:cdr="http://schemas.openxmlformats.org/drawingml/2006/chartDrawing">
    <cdr:from>
      <cdr:x>0.5805</cdr:x>
      <cdr:y>0.9965</cdr:y>
    </cdr:from>
    <cdr:to>
      <cdr:x>0.86875</cdr:x>
      <cdr:y>0.9965</cdr:y>
    </cdr:to>
    <cdr:sp macro="" textlink="">
      <cdr:nvSpPr>
        <cdr:cNvPr id="12299" name="Line 1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308092" y="5638048"/>
          <a:ext cx="2635758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0.53725</cdr:x>
      <cdr:y>0.9955</cdr:y>
    </cdr:from>
    <cdr:to>
      <cdr:x>0.53725</cdr:x>
      <cdr:y>0.9965</cdr:y>
    </cdr:to>
    <cdr:sp macro="" textlink="">
      <cdr:nvSpPr>
        <cdr:cNvPr id="12300" name="Line 1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912614" y="5632390"/>
          <a:ext cx="0" cy="565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0.84125</cdr:x>
      <cdr:y>0.9955</cdr:y>
    </cdr:from>
    <cdr:to>
      <cdr:x>0.843</cdr:x>
      <cdr:y>0.9965</cdr:y>
    </cdr:to>
    <cdr:sp macro="" textlink="">
      <cdr:nvSpPr>
        <cdr:cNvPr id="12301" name="Line 1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7692390" y="5632390"/>
          <a:ext cx="16002" cy="565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785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0.0235</cdr:x>
      <cdr:y>0.943</cdr:y>
    </cdr:from>
    <cdr:to>
      <cdr:x>0.19425</cdr:x>
      <cdr:y>0.97675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4884" y="5335353"/>
          <a:ext cx="1561338" cy="1909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Etablir des liaisons avec:</a:t>
          </a:r>
        </a:p>
      </cdr:txBody>
    </cdr:sp>
  </cdr:relSizeAnchor>
  <cdr:relSizeAnchor xmlns:cdr="http://schemas.openxmlformats.org/drawingml/2006/chartDrawing">
    <cdr:from>
      <cdr:x>0.0235</cdr:x>
      <cdr:y>0.99425</cdr:y>
    </cdr:from>
    <cdr:to>
      <cdr:x>0.2065</cdr:x>
      <cdr:y>0.996</cdr:y>
    </cdr:to>
    <cdr:sp macro="" textlink="">
      <cdr:nvSpPr>
        <cdr:cNvPr id="16386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14884" y="5625317"/>
          <a:ext cx="1673352" cy="99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0.0125</cdr:x>
      <cdr:y>0.99425</cdr:y>
    </cdr:from>
    <cdr:to>
      <cdr:x>0.0125</cdr:x>
      <cdr:y>0.996</cdr:y>
    </cdr:to>
    <cdr:sp macro="" textlink="">
      <cdr:nvSpPr>
        <cdr:cNvPr id="16387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14300" y="5625317"/>
          <a:ext cx="0" cy="99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0.11125</cdr:x>
      <cdr:y>0.99425</cdr:y>
    </cdr:from>
    <cdr:to>
      <cdr:x>0.11275</cdr:x>
      <cdr:y>0.996</cdr:y>
    </cdr:to>
    <cdr:sp macro="" textlink="">
      <cdr:nvSpPr>
        <cdr:cNvPr id="16388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017270" y="5625317"/>
          <a:ext cx="13716" cy="99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0.71775</cdr:x>
      <cdr:y>0.0045</cdr:y>
    </cdr:from>
    <cdr:to>
      <cdr:x>0.98875</cdr:x>
      <cdr:y>0.2415</cdr:y>
    </cdr:to>
    <cdr:graphicFrame macro="">
      <cdr:nvGraphicFramePr>
        <cdr:cNvPr id="16807" name="Chart 423"/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0.3655</cdr:x>
      <cdr:y>0.943</cdr:y>
    </cdr:from>
    <cdr:to>
      <cdr:x>0.58125</cdr:x>
      <cdr:y>0.97675</cdr:y>
    </cdr:to>
    <cdr:sp macro="" textlink="">
      <cdr:nvSpPr>
        <cdr:cNvPr id="16390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42132" y="5335353"/>
          <a:ext cx="1972818" cy="1909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On gagne par des partenariats:</a:t>
          </a:r>
        </a:p>
      </cdr:txBody>
    </cdr:sp>
  </cdr:relSizeAnchor>
  <cdr:relSizeAnchor xmlns:cdr="http://schemas.openxmlformats.org/drawingml/2006/chartDrawing">
    <cdr:from>
      <cdr:x>0.3655</cdr:x>
      <cdr:y>0.99425</cdr:y>
    </cdr:from>
    <cdr:to>
      <cdr:x>0.57325</cdr:x>
      <cdr:y>0.99475</cdr:y>
    </cdr:to>
    <cdr:sp macro="" textlink="">
      <cdr:nvSpPr>
        <cdr:cNvPr id="16391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342132" y="5625317"/>
          <a:ext cx="1899666" cy="282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0.3105</cdr:x>
      <cdr:y>0.99425</cdr:y>
    </cdr:from>
    <cdr:to>
      <cdr:x>0.3105</cdr:x>
      <cdr:y>0.996</cdr:y>
    </cdr:to>
    <cdr:sp macro="" textlink="">
      <cdr:nvSpPr>
        <cdr:cNvPr id="16392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839212" y="5625317"/>
          <a:ext cx="0" cy="99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0.51725</cdr:x>
      <cdr:y>0.99425</cdr:y>
    </cdr:from>
    <cdr:to>
      <cdr:x>0.51725</cdr:x>
      <cdr:y>0.996</cdr:y>
    </cdr:to>
    <cdr:sp macro="" textlink="">
      <cdr:nvSpPr>
        <cdr:cNvPr id="16393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729734" y="5625317"/>
          <a:ext cx="0" cy="99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124950" cy="563880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0.093</cdr:x>
      <cdr:y>0.94475</cdr:y>
    </cdr:from>
    <cdr:to>
      <cdr:x>0.2555</cdr:x>
      <cdr:y>0.98175</cdr:y>
    </cdr:to>
    <cdr:sp macro="" textlink="">
      <cdr:nvSpPr>
        <cdr:cNvPr id="225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0392" y="5345254"/>
          <a:ext cx="1485900" cy="209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Contribution de la C.A. a:</a:t>
          </a:r>
        </a:p>
      </cdr:txBody>
    </cdr:sp>
  </cdr:relSizeAnchor>
  <cdr:relSizeAnchor xmlns:cdr="http://schemas.openxmlformats.org/drawingml/2006/chartDrawing">
    <cdr:from>
      <cdr:x>0.04275</cdr:x>
      <cdr:y>0.98825</cdr:y>
    </cdr:from>
    <cdr:to>
      <cdr:x>0.327</cdr:x>
      <cdr:y>0.98825</cdr:y>
    </cdr:to>
    <cdr:sp macro="" textlink="">
      <cdr:nvSpPr>
        <cdr:cNvPr id="2253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90906" y="5591370"/>
          <a:ext cx="2599182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0.04275</cdr:x>
      <cdr:y>0.9835</cdr:y>
    </cdr:from>
    <cdr:to>
      <cdr:x>0.04275</cdr:x>
      <cdr:y>0.98825</cdr:y>
    </cdr:to>
    <cdr:sp macro="" textlink="">
      <cdr:nvSpPr>
        <cdr:cNvPr id="2253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90906" y="5564495"/>
          <a:ext cx="0" cy="2687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0.32775</cdr:x>
      <cdr:y>0.98425</cdr:y>
    </cdr:from>
    <cdr:to>
      <cdr:x>0.3285</cdr:x>
      <cdr:y>0.9885</cdr:y>
    </cdr:to>
    <cdr:sp macro="" textlink="">
      <cdr:nvSpPr>
        <cdr:cNvPr id="2253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996946" y="5568739"/>
          <a:ext cx="6858" cy="2404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0.463</cdr:x>
      <cdr:y>0.0045</cdr:y>
    </cdr:from>
    <cdr:to>
      <cdr:x>0.994</cdr:x>
      <cdr:y>0.235</cdr:y>
    </cdr:to>
    <cdr:graphicFrame macro="">
      <cdr:nvGraphicFramePr>
        <cdr:cNvPr id="22947" name="Chart 419"/>
        <cdr:cNvGraphicFramePr>
          <a:graphicFrameLocks xmlns:a="http://schemas.openxmlformats.org/drawingml/2006/main"/>
        </cdr:cNvGraphicFramePr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0.47725</cdr:x>
      <cdr:y>0.93</cdr:y>
    </cdr:from>
    <cdr:to>
      <cdr:x>0.6065</cdr:x>
      <cdr:y>0.98225</cdr:y>
    </cdr:to>
    <cdr:sp macro="" textlink="">
      <cdr:nvSpPr>
        <cdr:cNvPr id="22534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63974" y="5261801"/>
          <a:ext cx="1181862" cy="2956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Mission, but et philosophie reflèté par:</a:t>
          </a:r>
        </a:p>
      </cdr:txBody>
    </cdr:sp>
  </cdr:relSizeAnchor>
  <cdr:relSizeAnchor xmlns:cdr="http://schemas.openxmlformats.org/drawingml/2006/chartDrawing">
    <cdr:from>
      <cdr:x>0.47725</cdr:x>
      <cdr:y>0.9835</cdr:y>
    </cdr:from>
    <cdr:to>
      <cdr:x>0.62575</cdr:x>
      <cdr:y>0.9835</cdr:y>
    </cdr:to>
    <cdr:sp macro="" textlink="">
      <cdr:nvSpPr>
        <cdr:cNvPr id="2253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363974" y="5564495"/>
          <a:ext cx="1357884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0.45325</cdr:x>
      <cdr:y>0.97825</cdr:y>
    </cdr:from>
    <cdr:to>
      <cdr:x>0.45325</cdr:x>
      <cdr:y>0.9835</cdr:y>
    </cdr:to>
    <cdr:sp macro="" textlink="">
      <cdr:nvSpPr>
        <cdr:cNvPr id="2253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144518" y="5534792"/>
          <a:ext cx="0" cy="2970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0.601</cdr:x>
      <cdr:y>0.97825</cdr:y>
    </cdr:from>
    <cdr:to>
      <cdr:x>0.602</cdr:x>
      <cdr:y>0.9835</cdr:y>
    </cdr:to>
    <cdr:sp macro="" textlink="">
      <cdr:nvSpPr>
        <cdr:cNvPr id="2253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495544" y="5534792"/>
          <a:ext cx="9144" cy="2970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x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5"/>
  <dimension ref="A1:S45"/>
  <sheetViews>
    <sheetView tabSelected="1" topLeftCell="A3" workbookViewId="0">
      <selection activeCell="R2" sqref="R2:S7"/>
    </sheetView>
  </sheetViews>
  <sheetFormatPr baseColWidth="10" defaultColWidth="8.85546875" defaultRowHeight="12.75" x14ac:dyDescent="0.2"/>
  <cols>
    <col min="1" max="4" width="8.85546875" customWidth="1"/>
    <col min="5" max="5" width="10.7109375" bestFit="1" customWidth="1"/>
    <col min="10" max="10" width="9.7109375" customWidth="1"/>
    <col min="13" max="13" width="10.140625" bestFit="1" customWidth="1"/>
    <col min="15" max="16" width="8.85546875" style="31"/>
  </cols>
  <sheetData>
    <row r="1" spans="1:19" ht="18.75" thickBot="1" x14ac:dyDescent="0.3">
      <c r="A1" s="1" t="s">
        <v>28</v>
      </c>
      <c r="E1" s="53" t="s">
        <v>209</v>
      </c>
      <c r="F1" s="54"/>
      <c r="G1" s="54"/>
      <c r="H1" s="54"/>
      <c r="I1" s="54"/>
      <c r="J1" s="55"/>
      <c r="K1" s="4"/>
      <c r="L1" s="51" t="s">
        <v>108</v>
      </c>
      <c r="M1" s="70">
        <v>42353</v>
      </c>
      <c r="N1" s="5"/>
      <c r="O1" s="31" t="s">
        <v>51</v>
      </c>
      <c r="P1" s="31" t="s">
        <v>52</v>
      </c>
    </row>
    <row r="2" spans="1:19" x14ac:dyDescent="0.2">
      <c r="K2" s="8"/>
      <c r="L2" s="52" t="s">
        <v>33</v>
      </c>
      <c r="M2" s="12"/>
      <c r="N2" s="49">
        <v>37</v>
      </c>
      <c r="O2" s="31" t="s">
        <v>83</v>
      </c>
      <c r="P2" s="31">
        <v>5</v>
      </c>
      <c r="R2" s="78" t="s">
        <v>63</v>
      </c>
      <c r="S2" s="78"/>
    </row>
    <row r="3" spans="1:19" x14ac:dyDescent="0.2">
      <c r="E3" s="3" t="s">
        <v>29</v>
      </c>
      <c r="F3" s="3"/>
      <c r="G3" s="3" t="s">
        <v>30</v>
      </c>
      <c r="K3" s="8"/>
      <c r="L3" s="8"/>
      <c r="M3" s="8"/>
      <c r="N3" s="8"/>
      <c r="O3" s="31" t="s">
        <v>84</v>
      </c>
      <c r="P3" s="31">
        <v>10</v>
      </c>
      <c r="R3">
        <v>37</v>
      </c>
      <c r="S3" s="77" t="s">
        <v>210</v>
      </c>
    </row>
    <row r="4" spans="1:19" x14ac:dyDescent="0.2">
      <c r="E4" s="2" t="s">
        <v>31</v>
      </c>
      <c r="F4" s="2" t="s">
        <v>32</v>
      </c>
      <c r="G4" s="2" t="s">
        <v>31</v>
      </c>
      <c r="H4" s="2" t="s">
        <v>32</v>
      </c>
      <c r="O4" s="31" t="s">
        <v>85</v>
      </c>
      <c r="P4" s="31">
        <v>15</v>
      </c>
      <c r="R4">
        <v>45</v>
      </c>
      <c r="S4" s="77" t="s">
        <v>211</v>
      </c>
    </row>
    <row r="5" spans="1:19" x14ac:dyDescent="0.2">
      <c r="A5" t="s">
        <v>35</v>
      </c>
      <c r="E5" s="31">
        <v>40</v>
      </c>
      <c r="F5" s="31">
        <v>45</v>
      </c>
      <c r="G5" s="75">
        <f>GRH!A4</f>
        <v>62.358974358974351</v>
      </c>
      <c r="H5" s="75">
        <f>GRH!A5</f>
        <v>66.084149718975056</v>
      </c>
      <c r="I5" s="3" t="s">
        <v>71</v>
      </c>
      <c r="J5" s="26" t="s">
        <v>34</v>
      </c>
      <c r="K5" s="4"/>
      <c r="L5" s="4"/>
      <c r="M5" s="4"/>
      <c r="N5" s="5"/>
      <c r="O5" s="31" t="s">
        <v>86</v>
      </c>
      <c r="P5" s="31">
        <v>20</v>
      </c>
      <c r="R5">
        <v>38</v>
      </c>
      <c r="S5" s="77" t="s">
        <v>212</v>
      </c>
    </row>
    <row r="6" spans="1:19" x14ac:dyDescent="0.2">
      <c r="A6" t="s">
        <v>36</v>
      </c>
      <c r="E6" s="31">
        <v>40</v>
      </c>
      <c r="F6" s="31">
        <v>55</v>
      </c>
      <c r="G6" s="75">
        <f>GRF!A4</f>
        <v>62.37762237762238</v>
      </c>
      <c r="H6" s="75">
        <f>GRF!A5</f>
        <v>74.121149552498835</v>
      </c>
      <c r="I6" s="3" t="s">
        <v>72</v>
      </c>
      <c r="J6" s="6"/>
      <c r="K6" s="8"/>
      <c r="L6" s="8"/>
      <c r="M6" s="8"/>
      <c r="N6" s="9"/>
      <c r="O6" s="31" t="s">
        <v>87</v>
      </c>
      <c r="P6" s="31">
        <v>25</v>
      </c>
      <c r="S6" s="77"/>
    </row>
    <row r="7" spans="1:19" x14ac:dyDescent="0.2">
      <c r="A7" t="s">
        <v>37</v>
      </c>
      <c r="E7" s="31">
        <v>50</v>
      </c>
      <c r="F7" s="31">
        <v>45</v>
      </c>
      <c r="G7" s="75">
        <f>PartEq!A4</f>
        <v>67.820512820512818</v>
      </c>
      <c r="H7" s="75">
        <f>PartEq!A5</f>
        <v>65.331237735923182</v>
      </c>
      <c r="I7" s="3" t="s">
        <v>73</v>
      </c>
      <c r="J7" s="35" t="s">
        <v>103</v>
      </c>
      <c r="K7" s="8" t="s">
        <v>40</v>
      </c>
      <c r="L7" s="8"/>
      <c r="M7" s="8"/>
      <c r="N7" s="9"/>
      <c r="O7" s="31" t="s">
        <v>88</v>
      </c>
      <c r="P7" s="31">
        <v>30</v>
      </c>
      <c r="R7">
        <f>SUM(R3:R6)</f>
        <v>120</v>
      </c>
      <c r="S7" s="77" t="s">
        <v>213</v>
      </c>
    </row>
    <row r="8" spans="1:19" x14ac:dyDescent="0.2">
      <c r="A8" t="s">
        <v>8</v>
      </c>
      <c r="E8" s="31">
        <v>50</v>
      </c>
      <c r="F8" s="31">
        <v>40</v>
      </c>
      <c r="G8" s="75">
        <f>Dur!A4</f>
        <v>68.333333333333329</v>
      </c>
      <c r="H8" s="75">
        <f>Dur!A5</f>
        <v>61.887714627743769</v>
      </c>
      <c r="I8" s="3" t="s">
        <v>74</v>
      </c>
      <c r="J8" s="35" t="s">
        <v>104</v>
      </c>
      <c r="K8" s="8" t="s">
        <v>41</v>
      </c>
      <c r="L8" s="8"/>
      <c r="M8" s="8"/>
      <c r="N8" s="9"/>
      <c r="O8" s="31" t="s">
        <v>89</v>
      </c>
      <c r="P8" s="31">
        <v>35</v>
      </c>
    </row>
    <row r="9" spans="1:19" x14ac:dyDescent="0.2">
      <c r="A9" t="s">
        <v>38</v>
      </c>
      <c r="E9" s="31">
        <v>50</v>
      </c>
      <c r="F9" s="31">
        <v>60</v>
      </c>
      <c r="G9" s="75">
        <f>Partn!A4</f>
        <v>68.531468531468533</v>
      </c>
      <c r="H9" s="75">
        <f>Partn!A5</f>
        <v>74.934190973740016</v>
      </c>
      <c r="I9" s="3" t="s">
        <v>75</v>
      </c>
      <c r="J9" s="35" t="s">
        <v>105</v>
      </c>
      <c r="K9" s="8" t="s">
        <v>42</v>
      </c>
      <c r="L9" s="8"/>
      <c r="M9" s="8"/>
      <c r="N9" s="9"/>
      <c r="O9" s="31" t="s">
        <v>90</v>
      </c>
      <c r="P9" s="31">
        <v>40</v>
      </c>
    </row>
    <row r="10" spans="1:19" x14ac:dyDescent="0.2">
      <c r="A10" s="68" t="s">
        <v>208</v>
      </c>
      <c r="E10" s="31">
        <v>60</v>
      </c>
      <c r="F10" s="31">
        <v>60</v>
      </c>
      <c r="G10" s="75">
        <f>Gouv!A4</f>
        <v>75.07692307692308</v>
      </c>
      <c r="H10" s="75">
        <f>Gouv!A5</f>
        <v>76.141442431891051</v>
      </c>
      <c r="I10" s="3" t="s">
        <v>76</v>
      </c>
      <c r="J10" s="35" t="s">
        <v>106</v>
      </c>
      <c r="K10" s="8" t="s">
        <v>43</v>
      </c>
      <c r="L10" s="8"/>
      <c r="M10" s="8"/>
      <c r="N10" s="9"/>
      <c r="O10" s="31" t="s">
        <v>91</v>
      </c>
      <c r="P10" s="31">
        <v>45</v>
      </c>
    </row>
    <row r="11" spans="1:19" x14ac:dyDescent="0.2">
      <c r="E11" s="31"/>
      <c r="F11" s="31"/>
      <c r="G11" s="33"/>
      <c r="H11" s="33"/>
      <c r="I11" s="3"/>
      <c r="J11" s="35" t="s">
        <v>107</v>
      </c>
      <c r="K11" s="8" t="s">
        <v>50</v>
      </c>
      <c r="L11" s="8"/>
      <c r="M11" s="8"/>
      <c r="N11" s="9"/>
      <c r="O11" s="31" t="s">
        <v>92</v>
      </c>
      <c r="P11" s="31">
        <v>50</v>
      </c>
    </row>
    <row r="12" spans="1:19" x14ac:dyDescent="0.2">
      <c r="B12" s="2"/>
      <c r="D12" s="2" t="s">
        <v>39</v>
      </c>
      <c r="E12" s="36">
        <f>SUM(E5:E10)/6</f>
        <v>48.333333333333336</v>
      </c>
      <c r="F12" s="36">
        <f>SUM(F5:F10)/6</f>
        <v>50.833333333333336</v>
      </c>
      <c r="G12" s="34">
        <f>SUM(G5:G10)/6</f>
        <v>67.416472416472416</v>
      </c>
      <c r="H12" s="34">
        <f>SUM(H5:H10)/6</f>
        <v>69.749980840128657</v>
      </c>
      <c r="I12" s="3" t="s">
        <v>77</v>
      </c>
      <c r="J12" s="11"/>
      <c r="K12" s="12"/>
      <c r="L12" s="12"/>
      <c r="M12" s="12"/>
      <c r="N12" s="13"/>
      <c r="O12" s="31" t="s">
        <v>93</v>
      </c>
      <c r="P12" s="31">
        <v>55</v>
      </c>
    </row>
    <row r="13" spans="1:19" x14ac:dyDescent="0.2">
      <c r="O13" s="31" t="s">
        <v>94</v>
      </c>
      <c r="P13" s="31">
        <v>60</v>
      </c>
    </row>
    <row r="14" spans="1:19" x14ac:dyDescent="0.2">
      <c r="F14" s="25"/>
      <c r="O14" s="31" t="s">
        <v>95</v>
      </c>
      <c r="P14" s="31">
        <v>65</v>
      </c>
    </row>
    <row r="15" spans="1:19" x14ac:dyDescent="0.2">
      <c r="O15" s="31" t="s">
        <v>96</v>
      </c>
      <c r="P15" s="31">
        <v>70</v>
      </c>
    </row>
    <row r="16" spans="1:19" x14ac:dyDescent="0.2">
      <c r="O16" s="31" t="s">
        <v>97</v>
      </c>
      <c r="P16" s="31">
        <v>75</v>
      </c>
    </row>
    <row r="17" spans="15:16" x14ac:dyDescent="0.2">
      <c r="O17" s="31" t="s">
        <v>98</v>
      </c>
      <c r="P17" s="31">
        <v>80</v>
      </c>
    </row>
    <row r="18" spans="15:16" x14ac:dyDescent="0.2">
      <c r="O18" s="31" t="s">
        <v>99</v>
      </c>
      <c r="P18" s="31">
        <v>85</v>
      </c>
    </row>
    <row r="19" spans="15:16" x14ac:dyDescent="0.2">
      <c r="O19" s="31" t="s">
        <v>100</v>
      </c>
      <c r="P19" s="31">
        <v>90</v>
      </c>
    </row>
    <row r="20" spans="15:16" x14ac:dyDescent="0.2">
      <c r="O20" s="31" t="s">
        <v>101</v>
      </c>
      <c r="P20" s="31">
        <v>95</v>
      </c>
    </row>
    <row r="21" spans="15:16" x14ac:dyDescent="0.2">
      <c r="O21" s="31" t="s">
        <v>102</v>
      </c>
      <c r="P21" s="31">
        <v>100</v>
      </c>
    </row>
    <row r="36" spans="1:3" x14ac:dyDescent="0.2">
      <c r="A36" s="2" t="s">
        <v>53</v>
      </c>
      <c r="B36" s="2"/>
    </row>
    <row r="37" spans="1:3" x14ac:dyDescent="0.2">
      <c r="A37" t="s">
        <v>29</v>
      </c>
    </row>
    <row r="38" spans="1:3" x14ac:dyDescent="0.2">
      <c r="A38" s="2" t="s">
        <v>54</v>
      </c>
      <c r="B38" s="2" t="s">
        <v>32</v>
      </c>
    </row>
    <row r="39" spans="1:3" x14ac:dyDescent="0.2">
      <c r="A39" s="50">
        <f t="shared" ref="A39:B44" si="0">E5</f>
        <v>40</v>
      </c>
      <c r="B39" s="50">
        <f t="shared" si="0"/>
        <v>45</v>
      </c>
      <c r="C39" s="3" t="s">
        <v>71</v>
      </c>
    </row>
    <row r="40" spans="1:3" x14ac:dyDescent="0.2">
      <c r="A40" s="50">
        <f t="shared" si="0"/>
        <v>40</v>
      </c>
      <c r="B40" s="50">
        <f t="shared" si="0"/>
        <v>55</v>
      </c>
      <c r="C40" s="3" t="s">
        <v>72</v>
      </c>
    </row>
    <row r="41" spans="1:3" x14ac:dyDescent="0.2">
      <c r="A41" s="50">
        <f t="shared" si="0"/>
        <v>50</v>
      </c>
      <c r="B41" s="50">
        <f t="shared" si="0"/>
        <v>45</v>
      </c>
      <c r="C41" s="3" t="s">
        <v>73</v>
      </c>
    </row>
    <row r="42" spans="1:3" x14ac:dyDescent="0.2">
      <c r="A42" s="50">
        <f t="shared" si="0"/>
        <v>50</v>
      </c>
      <c r="B42" s="50">
        <f t="shared" si="0"/>
        <v>40</v>
      </c>
      <c r="C42" s="3" t="s">
        <v>74</v>
      </c>
    </row>
    <row r="43" spans="1:3" x14ac:dyDescent="0.2">
      <c r="A43" s="50">
        <f t="shared" si="0"/>
        <v>50</v>
      </c>
      <c r="B43" s="50">
        <f t="shared" si="0"/>
        <v>60</v>
      </c>
      <c r="C43" s="3" t="s">
        <v>75</v>
      </c>
    </row>
    <row r="44" spans="1:3" x14ac:dyDescent="0.2">
      <c r="A44" s="50">
        <f t="shared" si="0"/>
        <v>60</v>
      </c>
      <c r="B44" s="50">
        <f t="shared" si="0"/>
        <v>60</v>
      </c>
      <c r="C44" s="3" t="s">
        <v>76</v>
      </c>
    </row>
    <row r="45" spans="1:3" x14ac:dyDescent="0.2">
      <c r="A45" s="69">
        <f>SUM(A39:A44)/6</f>
        <v>48.333333333333336</v>
      </c>
      <c r="B45" s="69">
        <f>SUM(B39:B44)/6</f>
        <v>50.833333333333336</v>
      </c>
      <c r="C45" s="3" t="s">
        <v>77</v>
      </c>
    </row>
  </sheetData>
  <pageMargins left="0.78740157499999996" right="0.78740157499999996" top="0.984251969" bottom="0.984251969" header="0.5" footer="0.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1"/>
  <dimension ref="A1:AE60"/>
  <sheetViews>
    <sheetView zoomScale="115" zoomScaleNormal="115" workbookViewId="0">
      <selection activeCell="A11" sqref="A11:A28"/>
    </sheetView>
  </sheetViews>
  <sheetFormatPr baseColWidth="10" defaultColWidth="8.85546875" defaultRowHeight="12.75" x14ac:dyDescent="0.2"/>
  <cols>
    <col min="1" max="1" width="9.42578125" customWidth="1"/>
    <col min="2" max="21" width="3.7109375" customWidth="1"/>
    <col min="22" max="22" width="7.42578125" customWidth="1"/>
    <col min="23" max="24" width="8.85546875" customWidth="1"/>
    <col min="25" max="25" width="6.85546875" style="56" customWidth="1"/>
    <col min="26" max="26" width="16.42578125" style="56" customWidth="1"/>
    <col min="27" max="28" width="11.7109375" style="56" customWidth="1"/>
  </cols>
  <sheetData>
    <row r="1" spans="1:31" ht="18" x14ac:dyDescent="0.25">
      <c r="A1" s="1" t="s">
        <v>44</v>
      </c>
    </row>
    <row r="2" spans="1:31" x14ac:dyDescent="0.2">
      <c r="L2" s="26" t="s">
        <v>57</v>
      </c>
      <c r="M2" s="4"/>
      <c r="N2" s="4"/>
      <c r="O2" s="4"/>
      <c r="P2" s="4"/>
      <c r="Q2" s="4"/>
      <c r="R2" s="4"/>
      <c r="S2" s="4"/>
      <c r="T2" s="4"/>
      <c r="U2" s="5"/>
      <c r="W2" s="26" t="s">
        <v>66</v>
      </c>
      <c r="X2" s="4"/>
      <c r="Y2" s="57"/>
      <c r="Z2" s="57"/>
      <c r="AA2" s="58"/>
    </row>
    <row r="3" spans="1:31" ht="13.5" thickBot="1" x14ac:dyDescent="0.25">
      <c r="B3" s="3" t="s">
        <v>30</v>
      </c>
      <c r="C3" s="8"/>
      <c r="D3" s="8"/>
      <c r="G3" s="8"/>
      <c r="H3" s="8"/>
      <c r="I3" s="8"/>
      <c r="J3" s="8"/>
      <c r="K3" s="8"/>
      <c r="L3" s="47" t="s">
        <v>58</v>
      </c>
      <c r="M3" s="8"/>
      <c r="N3" s="8"/>
      <c r="O3" s="8"/>
      <c r="P3" s="22">
        <f>V27*V27</f>
        <v>369664</v>
      </c>
      <c r="Q3" s="43" t="s">
        <v>10</v>
      </c>
      <c r="S3" s="8"/>
      <c r="T3" s="8"/>
      <c r="U3" s="9"/>
      <c r="W3" s="35" t="s">
        <v>103</v>
      </c>
      <c r="X3" s="8" t="s">
        <v>67</v>
      </c>
      <c r="Y3" s="59"/>
      <c r="Z3" s="59"/>
      <c r="AA3" s="60"/>
    </row>
    <row r="4" spans="1:31" x14ac:dyDescent="0.2">
      <c r="A4" s="23">
        <f>(P8/L6)*100</f>
        <v>62.358974358974351</v>
      </c>
      <c r="B4" s="14" t="s">
        <v>55</v>
      </c>
      <c r="C4" s="15"/>
      <c r="D4" s="15"/>
      <c r="E4" s="15"/>
      <c r="F4" s="16"/>
      <c r="G4" s="16"/>
      <c r="H4" s="16"/>
      <c r="I4" s="16"/>
      <c r="J4" s="17"/>
      <c r="K4" s="8"/>
      <c r="L4" s="6">
        <v>13</v>
      </c>
      <c r="M4" s="8"/>
      <c r="N4" s="8"/>
      <c r="O4" s="8"/>
      <c r="P4" s="7">
        <f>L4*(L4-1)</f>
        <v>156</v>
      </c>
      <c r="Q4" s="43" t="s">
        <v>11</v>
      </c>
      <c r="S4" s="8"/>
      <c r="T4" s="8"/>
      <c r="U4" s="9"/>
      <c r="W4" s="35" t="s">
        <v>104</v>
      </c>
      <c r="X4" s="8" t="s">
        <v>43</v>
      </c>
      <c r="Y4" s="59"/>
      <c r="Z4" s="59"/>
      <c r="AA4" s="60"/>
    </row>
    <row r="5" spans="1:31" ht="13.5" thickBot="1" x14ac:dyDescent="0.25">
      <c r="A5" s="24">
        <f>100-(P9*2)</f>
        <v>66.084149718975056</v>
      </c>
      <c r="B5" s="18" t="s">
        <v>56</v>
      </c>
      <c r="C5" s="19"/>
      <c r="D5" s="19"/>
      <c r="E5" s="19"/>
      <c r="F5" s="20"/>
      <c r="G5" s="20"/>
      <c r="H5" s="20"/>
      <c r="I5" s="20"/>
      <c r="J5" s="21"/>
      <c r="K5" s="8"/>
      <c r="L5" s="47" t="s">
        <v>59</v>
      </c>
      <c r="M5" s="8"/>
      <c r="N5" s="8"/>
      <c r="O5" s="8"/>
      <c r="P5" s="22">
        <f>(L4*V28)-P3</f>
        <v>16150</v>
      </c>
      <c r="Q5" s="43" t="s">
        <v>122</v>
      </c>
      <c r="S5" s="8"/>
      <c r="T5" s="8"/>
      <c r="U5" s="9"/>
      <c r="W5" s="35" t="s">
        <v>105</v>
      </c>
      <c r="X5" s="8" t="s">
        <v>68</v>
      </c>
      <c r="Y5" s="59"/>
      <c r="Z5" s="59"/>
      <c r="AA5" s="60"/>
    </row>
    <row r="6" spans="1:31" x14ac:dyDescent="0.2">
      <c r="J6" s="8"/>
      <c r="K6" s="8"/>
      <c r="L6" s="6">
        <f>A26*5</f>
        <v>75</v>
      </c>
      <c r="M6" s="8"/>
      <c r="N6" s="10"/>
      <c r="O6" s="8"/>
      <c r="P6" s="7">
        <f>P5/P4</f>
        <v>103.52564102564102</v>
      </c>
      <c r="Q6" s="43" t="s">
        <v>12</v>
      </c>
      <c r="S6" s="8"/>
      <c r="T6" s="8"/>
      <c r="U6" s="9"/>
      <c r="W6" s="35" t="s">
        <v>106</v>
      </c>
      <c r="X6" s="8" t="s">
        <v>43</v>
      </c>
      <c r="Y6" s="59"/>
      <c r="Z6" s="59"/>
      <c r="AA6" s="60"/>
    </row>
    <row r="7" spans="1:31" x14ac:dyDescent="0.2">
      <c r="C7" s="8"/>
      <c r="D7" s="8"/>
      <c r="G7" s="8"/>
      <c r="H7" s="8"/>
      <c r="I7" s="8"/>
      <c r="J7" s="8"/>
      <c r="K7" s="8"/>
      <c r="L7" s="47" t="s">
        <v>60</v>
      </c>
      <c r="M7" s="8"/>
      <c r="N7" s="10"/>
      <c r="O7" s="8"/>
      <c r="P7" s="7">
        <f>SQRT(P6)</f>
        <v>10.174755084307485</v>
      </c>
      <c r="Q7" s="43" t="s">
        <v>13</v>
      </c>
      <c r="S7" s="8"/>
      <c r="T7" s="8"/>
      <c r="U7" s="9"/>
      <c r="W7" s="46" t="s">
        <v>107</v>
      </c>
      <c r="X7" s="12" t="s">
        <v>69</v>
      </c>
      <c r="Y7" s="61"/>
      <c r="Z7" s="61"/>
      <c r="AA7" s="62"/>
    </row>
    <row r="8" spans="1:31" x14ac:dyDescent="0.2">
      <c r="C8" s="8"/>
      <c r="D8" s="8"/>
      <c r="G8" s="8"/>
      <c r="H8" s="8"/>
      <c r="I8" s="8"/>
      <c r="J8" s="8"/>
      <c r="L8" s="6">
        <f>A26</f>
        <v>15</v>
      </c>
      <c r="M8" s="8"/>
      <c r="N8" s="8"/>
      <c r="O8" s="8"/>
      <c r="P8" s="8">
        <f>V27/L4</f>
        <v>46.769230769230766</v>
      </c>
      <c r="Q8" s="43" t="s">
        <v>61</v>
      </c>
      <c r="R8" s="8"/>
      <c r="S8" s="8"/>
      <c r="T8" s="8"/>
      <c r="U8" s="9"/>
    </row>
    <row r="9" spans="1:31" x14ac:dyDescent="0.2">
      <c r="L9" s="11"/>
      <c r="M9" s="12"/>
      <c r="N9" s="12"/>
      <c r="O9" s="12"/>
      <c r="P9" s="12">
        <f>P7/((L8*5)-(L8*1))*100</f>
        <v>16.957925140512476</v>
      </c>
      <c r="Q9" s="44" t="s">
        <v>62</v>
      </c>
      <c r="R9" s="12"/>
      <c r="S9" s="12"/>
      <c r="T9" s="12"/>
      <c r="U9" s="13"/>
    </row>
    <row r="10" spans="1:31" x14ac:dyDescent="0.2">
      <c r="A10" s="3"/>
      <c r="B10" s="3" t="s">
        <v>63</v>
      </c>
      <c r="C10" s="3"/>
      <c r="D10" s="3"/>
      <c r="E10" s="3"/>
      <c r="F10" s="3">
        <v>5</v>
      </c>
      <c r="G10" s="3"/>
      <c r="H10" s="3"/>
      <c r="I10" s="3"/>
      <c r="J10" s="3"/>
      <c r="K10" s="3">
        <v>10</v>
      </c>
      <c r="L10" s="3"/>
      <c r="M10" s="3"/>
      <c r="N10" s="3"/>
      <c r="O10" s="3"/>
      <c r="P10" s="3">
        <v>15</v>
      </c>
      <c r="Q10" s="3"/>
      <c r="R10" s="3"/>
      <c r="S10" s="3"/>
      <c r="T10" s="3"/>
      <c r="U10" s="3">
        <v>20</v>
      </c>
      <c r="W10" s="26" t="s">
        <v>70</v>
      </c>
      <c r="X10" s="38"/>
      <c r="Y10" s="57"/>
      <c r="Z10" s="57"/>
      <c r="AA10" s="64"/>
      <c r="AB10" s="63"/>
      <c r="AC10" s="8"/>
      <c r="AD10" s="8"/>
      <c r="AE10" s="8"/>
    </row>
    <row r="11" spans="1:31" x14ac:dyDescent="0.2">
      <c r="A11" s="80" t="s">
        <v>64</v>
      </c>
      <c r="B11" s="79" t="s">
        <v>110</v>
      </c>
      <c r="C11" s="79" t="s">
        <v>111</v>
      </c>
      <c r="D11" s="79" t="s">
        <v>112</v>
      </c>
      <c r="E11" s="79" t="s">
        <v>113</v>
      </c>
      <c r="F11" s="79" t="s">
        <v>114</v>
      </c>
      <c r="G11" s="79" t="s">
        <v>115</v>
      </c>
      <c r="H11" s="79" t="s">
        <v>116</v>
      </c>
      <c r="I11" s="79" t="s">
        <v>117</v>
      </c>
      <c r="J11" s="73" t="s">
        <v>118</v>
      </c>
      <c r="K11" s="73" t="s">
        <v>119</v>
      </c>
      <c r="L11" s="73" t="s">
        <v>120</v>
      </c>
      <c r="M11" s="73" t="s">
        <v>121</v>
      </c>
      <c r="N11" s="73" t="s">
        <v>122</v>
      </c>
      <c r="O11" s="28" t="s">
        <v>123</v>
      </c>
      <c r="P11" s="28" t="s">
        <v>124</v>
      </c>
      <c r="Q11" s="28" t="s">
        <v>12</v>
      </c>
      <c r="R11" s="28" t="s">
        <v>14</v>
      </c>
      <c r="S11" s="28" t="s">
        <v>15</v>
      </c>
      <c r="T11" s="28" t="s">
        <v>16</v>
      </c>
      <c r="U11" s="28" t="s">
        <v>17</v>
      </c>
      <c r="V11" s="31" t="s">
        <v>65</v>
      </c>
      <c r="W11" s="27" t="s">
        <v>31</v>
      </c>
      <c r="X11" s="45" t="s">
        <v>32</v>
      </c>
      <c r="Y11" s="37" t="s">
        <v>64</v>
      </c>
      <c r="Z11" s="59"/>
      <c r="AA11" s="65"/>
      <c r="AB11" s="63"/>
      <c r="AC11" s="8"/>
      <c r="AD11" s="8"/>
      <c r="AE11" s="37"/>
    </row>
    <row r="12" spans="1:31" x14ac:dyDescent="0.2">
      <c r="A12" s="81">
        <v>1</v>
      </c>
      <c r="B12" s="31">
        <v>4</v>
      </c>
      <c r="C12" s="31">
        <v>4</v>
      </c>
      <c r="D12" s="31">
        <v>2</v>
      </c>
      <c r="E12" s="31">
        <v>3</v>
      </c>
      <c r="F12" s="31">
        <v>4</v>
      </c>
      <c r="G12" s="31">
        <v>4</v>
      </c>
      <c r="H12" s="31">
        <v>5</v>
      </c>
      <c r="I12" s="31">
        <v>3</v>
      </c>
      <c r="J12" s="31">
        <v>2</v>
      </c>
      <c r="K12" s="31">
        <v>2</v>
      </c>
      <c r="L12" s="31">
        <v>2</v>
      </c>
      <c r="M12" s="31">
        <v>2</v>
      </c>
      <c r="N12" s="31">
        <v>2</v>
      </c>
      <c r="O12" s="31"/>
      <c r="P12" s="31"/>
      <c r="Q12" s="31"/>
      <c r="R12" s="31"/>
      <c r="S12" s="31"/>
      <c r="T12" s="31"/>
      <c r="U12" s="31"/>
      <c r="V12" s="31">
        <f t="shared" ref="V12:V28" si="0">SUM(B12:U12)</f>
        <v>39</v>
      </c>
      <c r="W12" s="39">
        <f>V12/L4*20</f>
        <v>60</v>
      </c>
      <c r="X12" s="40">
        <f>100-(AB44*2)</f>
        <v>45.993827513267824</v>
      </c>
      <c r="Y12" s="48" t="s">
        <v>128</v>
      </c>
      <c r="Z12" s="48"/>
      <c r="AA12" s="66"/>
      <c r="AB12" s="40"/>
      <c r="AC12" s="48"/>
      <c r="AD12" s="48"/>
      <c r="AE12" s="8"/>
    </row>
    <row r="13" spans="1:31" x14ac:dyDescent="0.2">
      <c r="A13" s="81">
        <v>2</v>
      </c>
      <c r="B13" s="31">
        <v>4</v>
      </c>
      <c r="C13" s="31">
        <v>4</v>
      </c>
      <c r="D13" s="31">
        <v>3</v>
      </c>
      <c r="E13" s="31">
        <v>4</v>
      </c>
      <c r="F13" s="31">
        <v>3</v>
      </c>
      <c r="G13" s="31">
        <v>4</v>
      </c>
      <c r="H13" s="31">
        <v>3</v>
      </c>
      <c r="I13" s="31">
        <v>1</v>
      </c>
      <c r="J13" s="31">
        <v>3</v>
      </c>
      <c r="K13" s="31">
        <v>3</v>
      </c>
      <c r="L13" s="31">
        <v>3</v>
      </c>
      <c r="M13" s="31">
        <v>4</v>
      </c>
      <c r="N13" s="31">
        <v>4</v>
      </c>
      <c r="O13" s="31"/>
      <c r="P13" s="31"/>
      <c r="Q13" s="31"/>
      <c r="R13" s="31"/>
      <c r="S13" s="31"/>
      <c r="T13" s="31"/>
      <c r="U13" s="31"/>
      <c r="V13" s="31">
        <f t="shared" si="0"/>
        <v>43</v>
      </c>
      <c r="W13" s="39">
        <f>V13/L4*20</f>
        <v>66.153846153846146</v>
      </c>
      <c r="X13" s="40">
        <f t="shared" ref="X13:X26" si="1">100-(AB45*2)</f>
        <v>57.257479286744484</v>
      </c>
      <c r="Y13" s="48" t="s">
        <v>129</v>
      </c>
      <c r="Z13" s="48"/>
      <c r="AA13" s="60"/>
    </row>
    <row r="14" spans="1:31" x14ac:dyDescent="0.2">
      <c r="A14" s="81">
        <v>3</v>
      </c>
      <c r="B14" s="31">
        <v>5</v>
      </c>
      <c r="C14" s="31">
        <v>5</v>
      </c>
      <c r="D14" s="31">
        <v>2</v>
      </c>
      <c r="E14" s="31">
        <v>3</v>
      </c>
      <c r="F14" s="31">
        <v>3</v>
      </c>
      <c r="G14" s="31">
        <v>3</v>
      </c>
      <c r="H14" s="31">
        <v>5</v>
      </c>
      <c r="I14" s="31">
        <v>1</v>
      </c>
      <c r="J14" s="31">
        <v>3</v>
      </c>
      <c r="K14" s="31">
        <v>2</v>
      </c>
      <c r="L14" s="31">
        <v>1</v>
      </c>
      <c r="M14" s="31">
        <v>1</v>
      </c>
      <c r="N14" s="31">
        <v>4</v>
      </c>
      <c r="O14" s="31"/>
      <c r="P14" s="31"/>
      <c r="Q14" s="31"/>
      <c r="R14" s="31"/>
      <c r="S14" s="31"/>
      <c r="T14" s="31"/>
      <c r="U14" s="31"/>
      <c r="V14" s="31">
        <f t="shared" si="0"/>
        <v>38</v>
      </c>
      <c r="W14" s="39">
        <f>V14/L4*20</f>
        <v>58.46153846153846</v>
      </c>
      <c r="X14" s="40">
        <f t="shared" si="1"/>
        <v>25.106913810590243</v>
      </c>
      <c r="Y14" s="48" t="s">
        <v>130</v>
      </c>
      <c r="Z14" s="48"/>
      <c r="AA14" s="60"/>
    </row>
    <row r="15" spans="1:31" x14ac:dyDescent="0.2">
      <c r="A15" s="81">
        <v>4</v>
      </c>
      <c r="B15" s="31">
        <v>5</v>
      </c>
      <c r="C15" s="31">
        <v>3</v>
      </c>
      <c r="D15" s="31">
        <v>2</v>
      </c>
      <c r="E15" s="31">
        <v>3</v>
      </c>
      <c r="F15" s="31">
        <v>4</v>
      </c>
      <c r="G15" s="31">
        <v>2</v>
      </c>
      <c r="H15" s="31">
        <v>5</v>
      </c>
      <c r="I15" s="31">
        <v>5</v>
      </c>
      <c r="J15" s="31">
        <v>3</v>
      </c>
      <c r="K15" s="31">
        <v>4</v>
      </c>
      <c r="L15" s="31">
        <v>3</v>
      </c>
      <c r="M15" s="31">
        <v>2</v>
      </c>
      <c r="N15" s="31">
        <v>4</v>
      </c>
      <c r="O15" s="31"/>
      <c r="P15" s="31"/>
      <c r="Q15" s="31"/>
      <c r="R15" s="31"/>
      <c r="S15" s="31"/>
      <c r="T15" s="31"/>
      <c r="U15" s="31"/>
      <c r="V15" s="31">
        <f t="shared" si="0"/>
        <v>45</v>
      </c>
      <c r="W15" s="39">
        <f>V15/L4*20</f>
        <v>69.230769230769226</v>
      </c>
      <c r="X15" s="40">
        <f t="shared" si="1"/>
        <v>43.669928785089198</v>
      </c>
      <c r="Y15" s="48" t="s">
        <v>131</v>
      </c>
      <c r="Z15" s="48"/>
      <c r="AA15" s="60"/>
    </row>
    <row r="16" spans="1:31" x14ac:dyDescent="0.2">
      <c r="A16" s="81">
        <v>5</v>
      </c>
      <c r="B16" s="31">
        <v>4</v>
      </c>
      <c r="C16" s="31">
        <v>4</v>
      </c>
      <c r="D16" s="31">
        <v>2</v>
      </c>
      <c r="E16" s="31">
        <v>2</v>
      </c>
      <c r="F16" s="31">
        <v>3</v>
      </c>
      <c r="G16" s="31">
        <v>4</v>
      </c>
      <c r="H16" s="31">
        <v>4</v>
      </c>
      <c r="I16" s="31">
        <v>4</v>
      </c>
      <c r="J16" s="31">
        <v>2</v>
      </c>
      <c r="K16" s="31">
        <v>2</v>
      </c>
      <c r="L16" s="31">
        <v>2</v>
      </c>
      <c r="M16" s="31">
        <v>2</v>
      </c>
      <c r="N16" s="31">
        <v>2</v>
      </c>
      <c r="O16" s="31"/>
      <c r="P16" s="31"/>
      <c r="Q16" s="31"/>
      <c r="R16" s="31"/>
      <c r="S16" s="31"/>
      <c r="T16" s="31"/>
      <c r="U16" s="31"/>
      <c r="V16" s="31">
        <f t="shared" si="0"/>
        <v>37</v>
      </c>
      <c r="W16" s="39">
        <f>V16/L4*20</f>
        <v>56.923076923076927</v>
      </c>
      <c r="X16" s="40">
        <f t="shared" si="1"/>
        <v>50.645188320717544</v>
      </c>
      <c r="Y16" s="48" t="s">
        <v>132</v>
      </c>
      <c r="Z16" s="48"/>
      <c r="AA16" s="60"/>
    </row>
    <row r="17" spans="1:27" x14ac:dyDescent="0.2">
      <c r="A17" s="81">
        <v>6</v>
      </c>
      <c r="B17" s="31">
        <v>5</v>
      </c>
      <c r="C17" s="31">
        <v>4</v>
      </c>
      <c r="D17" s="31">
        <v>5</v>
      </c>
      <c r="E17" s="31">
        <v>2</v>
      </c>
      <c r="F17" s="31">
        <v>4</v>
      </c>
      <c r="G17" s="31">
        <v>4</v>
      </c>
      <c r="H17" s="31">
        <v>5</v>
      </c>
      <c r="I17" s="31">
        <v>5</v>
      </c>
      <c r="J17" s="31">
        <v>2</v>
      </c>
      <c r="K17" s="31">
        <v>4</v>
      </c>
      <c r="L17" s="31">
        <v>1</v>
      </c>
      <c r="M17" s="31">
        <v>2</v>
      </c>
      <c r="N17" s="31">
        <v>2</v>
      </c>
      <c r="O17" s="31"/>
      <c r="P17" s="31"/>
      <c r="Q17" s="31"/>
      <c r="R17" s="31"/>
      <c r="S17" s="31"/>
      <c r="T17" s="31"/>
      <c r="U17" s="31"/>
      <c r="V17" s="31">
        <f t="shared" si="0"/>
        <v>45</v>
      </c>
      <c r="W17" s="39">
        <f>V17/L4*20</f>
        <v>69.230769230769226</v>
      </c>
      <c r="X17" s="40">
        <f t="shared" si="1"/>
        <v>27.498894791801575</v>
      </c>
      <c r="Y17" s="48" t="s">
        <v>133</v>
      </c>
      <c r="Z17" s="48"/>
      <c r="AA17" s="60"/>
    </row>
    <row r="18" spans="1:27" x14ac:dyDescent="0.2">
      <c r="A18" s="81">
        <v>7</v>
      </c>
      <c r="B18" s="31">
        <v>5</v>
      </c>
      <c r="C18" s="31">
        <v>2</v>
      </c>
      <c r="D18" s="31">
        <v>4</v>
      </c>
      <c r="E18" s="31">
        <v>4</v>
      </c>
      <c r="F18" s="31">
        <v>3</v>
      </c>
      <c r="G18" s="31">
        <v>4</v>
      </c>
      <c r="H18" s="31">
        <v>4</v>
      </c>
      <c r="I18" s="31">
        <v>4</v>
      </c>
      <c r="J18" s="31">
        <v>2</v>
      </c>
      <c r="K18" s="31">
        <v>3</v>
      </c>
      <c r="L18" s="31">
        <v>2</v>
      </c>
      <c r="M18" s="31">
        <v>2</v>
      </c>
      <c r="N18" s="31">
        <v>4</v>
      </c>
      <c r="O18" s="31"/>
      <c r="P18" s="31"/>
      <c r="Q18" s="31"/>
      <c r="R18" s="31"/>
      <c r="S18" s="31"/>
      <c r="T18" s="31"/>
      <c r="U18" s="31"/>
      <c r="V18" s="31">
        <f t="shared" si="0"/>
        <v>43</v>
      </c>
      <c r="W18" s="39">
        <f>V18/L4*20</f>
        <v>66.153846153846146</v>
      </c>
      <c r="X18" s="40">
        <f t="shared" si="1"/>
        <v>48.422326436175801</v>
      </c>
      <c r="Y18" s="48" t="s">
        <v>134</v>
      </c>
      <c r="Z18" s="48"/>
      <c r="AA18" s="60"/>
    </row>
    <row r="19" spans="1:27" x14ac:dyDescent="0.2">
      <c r="A19" s="81">
        <v>8</v>
      </c>
      <c r="B19" s="31">
        <v>3</v>
      </c>
      <c r="C19" s="31">
        <v>4</v>
      </c>
      <c r="D19" s="31">
        <v>2</v>
      </c>
      <c r="E19" s="31">
        <v>3</v>
      </c>
      <c r="F19" s="31">
        <v>1</v>
      </c>
      <c r="G19" s="31">
        <v>4</v>
      </c>
      <c r="H19" s="31">
        <v>2</v>
      </c>
      <c r="I19" s="31">
        <v>3</v>
      </c>
      <c r="J19" s="31">
        <v>2</v>
      </c>
      <c r="K19" s="31">
        <v>1</v>
      </c>
      <c r="L19" s="31">
        <v>2</v>
      </c>
      <c r="M19" s="31">
        <v>2</v>
      </c>
      <c r="N19" s="31">
        <v>4</v>
      </c>
      <c r="O19" s="31"/>
      <c r="P19" s="31"/>
      <c r="Q19" s="31"/>
      <c r="R19" s="31"/>
      <c r="S19" s="31"/>
      <c r="T19" s="31"/>
      <c r="U19" s="31"/>
      <c r="V19" s="31">
        <f t="shared" si="0"/>
        <v>33</v>
      </c>
      <c r="W19" s="39">
        <f>V19/L4*20</f>
        <v>50.769230769230766</v>
      </c>
      <c r="X19" s="40">
        <f t="shared" si="1"/>
        <v>47.498473770658279</v>
      </c>
      <c r="Y19" s="48" t="s">
        <v>135</v>
      </c>
      <c r="Z19" s="48"/>
      <c r="AA19" s="60"/>
    </row>
    <row r="20" spans="1:27" x14ac:dyDescent="0.2">
      <c r="A20" s="81">
        <v>9</v>
      </c>
      <c r="B20" s="31">
        <v>3</v>
      </c>
      <c r="C20" s="31">
        <v>3</v>
      </c>
      <c r="D20" s="31">
        <v>3</v>
      </c>
      <c r="E20" s="31">
        <v>2</v>
      </c>
      <c r="F20" s="31">
        <v>1</v>
      </c>
      <c r="G20" s="31">
        <v>4</v>
      </c>
      <c r="H20" s="31">
        <v>4</v>
      </c>
      <c r="I20" s="31">
        <v>4</v>
      </c>
      <c r="J20" s="31">
        <v>2</v>
      </c>
      <c r="K20" s="31">
        <v>4</v>
      </c>
      <c r="L20" s="31">
        <v>1</v>
      </c>
      <c r="M20" s="31">
        <v>2</v>
      </c>
      <c r="N20" s="31">
        <v>4</v>
      </c>
      <c r="O20" s="31"/>
      <c r="P20" s="31"/>
      <c r="Q20" s="31"/>
      <c r="R20" s="31"/>
      <c r="S20" s="31"/>
      <c r="T20" s="31"/>
      <c r="U20" s="31"/>
      <c r="V20" s="31">
        <f t="shared" si="0"/>
        <v>37</v>
      </c>
      <c r="W20" s="39">
        <f>V20/L4*20</f>
        <v>56.923076923076927</v>
      </c>
      <c r="X20" s="40">
        <f t="shared" si="1"/>
        <v>42.822812510313433</v>
      </c>
      <c r="Y20" s="48" t="s">
        <v>136</v>
      </c>
      <c r="Z20" s="48"/>
      <c r="AA20" s="60"/>
    </row>
    <row r="21" spans="1:27" x14ac:dyDescent="0.2">
      <c r="A21" s="81">
        <v>10</v>
      </c>
      <c r="B21" s="31">
        <v>4</v>
      </c>
      <c r="C21" s="31">
        <v>4</v>
      </c>
      <c r="D21" s="31">
        <v>5</v>
      </c>
      <c r="E21" s="31">
        <v>4</v>
      </c>
      <c r="F21" s="31">
        <v>3</v>
      </c>
      <c r="G21" s="31">
        <v>5</v>
      </c>
      <c r="H21" s="31">
        <v>5</v>
      </c>
      <c r="I21" s="31">
        <v>5</v>
      </c>
      <c r="J21" s="31">
        <v>4</v>
      </c>
      <c r="K21" s="31">
        <v>4</v>
      </c>
      <c r="L21" s="31">
        <v>3</v>
      </c>
      <c r="M21" s="31">
        <v>2</v>
      </c>
      <c r="N21" s="31">
        <v>2</v>
      </c>
      <c r="O21" s="31"/>
      <c r="P21" s="31"/>
      <c r="Q21" s="31"/>
      <c r="R21" s="31"/>
      <c r="S21" s="31"/>
      <c r="T21" s="31"/>
      <c r="U21" s="31"/>
      <c r="V21" s="31">
        <f t="shared" si="0"/>
        <v>50</v>
      </c>
      <c r="W21" s="39">
        <f>V21/L4*20</f>
        <v>76.92307692307692</v>
      </c>
      <c r="X21" s="40">
        <f t="shared" si="1"/>
        <v>46.590599118094367</v>
      </c>
      <c r="Y21" s="48" t="s">
        <v>137</v>
      </c>
      <c r="Z21" s="48"/>
      <c r="AA21" s="60"/>
    </row>
    <row r="22" spans="1:27" x14ac:dyDescent="0.2">
      <c r="A22" s="81">
        <v>11</v>
      </c>
      <c r="B22" s="31">
        <v>3</v>
      </c>
      <c r="C22" s="31">
        <v>4</v>
      </c>
      <c r="D22" s="31">
        <v>5</v>
      </c>
      <c r="E22" s="31">
        <v>4</v>
      </c>
      <c r="F22" s="31">
        <v>3</v>
      </c>
      <c r="G22" s="31">
        <v>4</v>
      </c>
      <c r="H22" s="31">
        <v>5</v>
      </c>
      <c r="I22" s="31">
        <v>4</v>
      </c>
      <c r="J22" s="31">
        <v>4</v>
      </c>
      <c r="K22" s="31">
        <v>2</v>
      </c>
      <c r="L22" s="31">
        <v>3</v>
      </c>
      <c r="M22" s="31">
        <v>2</v>
      </c>
      <c r="N22" s="31">
        <v>2</v>
      </c>
      <c r="O22" s="31"/>
      <c r="P22" s="31"/>
      <c r="Q22" s="31"/>
      <c r="R22" s="31"/>
      <c r="S22" s="31"/>
      <c r="T22" s="31"/>
      <c r="U22" s="31"/>
      <c r="V22" s="31">
        <f t="shared" si="0"/>
        <v>45</v>
      </c>
      <c r="W22" s="39">
        <f>V22/L4*20</f>
        <v>69.230769230769226</v>
      </c>
      <c r="X22" s="40">
        <f t="shared" si="1"/>
        <v>47.498473770658279</v>
      </c>
      <c r="Y22" s="48" t="s">
        <v>138</v>
      </c>
      <c r="Z22" s="48"/>
      <c r="AA22" s="60"/>
    </row>
    <row r="23" spans="1:27" x14ac:dyDescent="0.2">
      <c r="A23" s="81">
        <v>12</v>
      </c>
      <c r="B23" s="31">
        <v>3</v>
      </c>
      <c r="C23" s="31">
        <v>4</v>
      </c>
      <c r="D23" s="31">
        <v>5</v>
      </c>
      <c r="E23" s="31">
        <v>3</v>
      </c>
      <c r="F23" s="31">
        <v>2</v>
      </c>
      <c r="G23" s="31">
        <v>2</v>
      </c>
      <c r="H23" s="31">
        <v>1</v>
      </c>
      <c r="I23" s="31">
        <v>5</v>
      </c>
      <c r="J23" s="31">
        <v>3</v>
      </c>
      <c r="K23" s="31">
        <v>3</v>
      </c>
      <c r="L23" s="31">
        <v>1</v>
      </c>
      <c r="M23" s="31">
        <v>2</v>
      </c>
      <c r="N23" s="31">
        <v>2</v>
      </c>
      <c r="O23" s="31"/>
      <c r="P23" s="31"/>
      <c r="Q23" s="31"/>
      <c r="R23" s="31"/>
      <c r="S23" s="31"/>
      <c r="T23" s="31"/>
      <c r="U23" s="31"/>
      <c r="V23" s="31">
        <f t="shared" si="0"/>
        <v>36</v>
      </c>
      <c r="W23" s="39">
        <f>V25/L4*20</f>
        <v>70.769230769230774</v>
      </c>
      <c r="X23" s="40">
        <f t="shared" si="1"/>
        <v>34.955636441200909</v>
      </c>
      <c r="Y23" s="48" t="s">
        <v>139</v>
      </c>
      <c r="Z23" s="48"/>
      <c r="AA23" s="60"/>
    </row>
    <row r="24" spans="1:27" x14ac:dyDescent="0.2">
      <c r="A24" s="81">
        <v>13</v>
      </c>
      <c r="B24" s="31">
        <v>4</v>
      </c>
      <c r="C24" s="31">
        <v>3</v>
      </c>
      <c r="D24" s="31">
        <v>1</v>
      </c>
      <c r="E24" s="31">
        <v>3</v>
      </c>
      <c r="F24" s="31">
        <v>3</v>
      </c>
      <c r="G24" s="31">
        <v>4</v>
      </c>
      <c r="H24" s="31">
        <v>4</v>
      </c>
      <c r="I24" s="31">
        <v>4</v>
      </c>
      <c r="J24" s="31">
        <v>3</v>
      </c>
      <c r="K24" s="31">
        <v>2</v>
      </c>
      <c r="L24" s="31">
        <v>3</v>
      </c>
      <c r="M24" s="31">
        <v>2</v>
      </c>
      <c r="N24" s="31">
        <v>2</v>
      </c>
      <c r="O24" s="31"/>
      <c r="P24" s="31"/>
      <c r="Q24" s="31"/>
      <c r="R24" s="31"/>
      <c r="S24" s="31"/>
      <c r="T24" s="31"/>
      <c r="U24" s="31"/>
      <c r="V24" s="31">
        <f t="shared" si="0"/>
        <v>38</v>
      </c>
      <c r="W24" s="39">
        <f>V26/L4*20</f>
        <v>50.769230769230766</v>
      </c>
      <c r="X24" s="40">
        <f t="shared" si="1"/>
        <v>52.296320627848573</v>
      </c>
      <c r="Y24" s="48" t="s">
        <v>140</v>
      </c>
      <c r="Z24" s="48"/>
      <c r="AA24" s="60"/>
    </row>
    <row r="25" spans="1:27" x14ac:dyDescent="0.2">
      <c r="A25" s="81">
        <v>14</v>
      </c>
      <c r="B25" s="31">
        <v>4</v>
      </c>
      <c r="C25" s="31">
        <v>5</v>
      </c>
      <c r="D25" s="31">
        <v>5</v>
      </c>
      <c r="E25" s="31">
        <v>4</v>
      </c>
      <c r="F25" s="31">
        <v>3</v>
      </c>
      <c r="G25" s="31">
        <v>4</v>
      </c>
      <c r="H25" s="31">
        <v>5</v>
      </c>
      <c r="I25" s="31">
        <v>4</v>
      </c>
      <c r="J25" s="31">
        <v>2</v>
      </c>
      <c r="K25" s="31">
        <v>3</v>
      </c>
      <c r="L25" s="31">
        <v>3</v>
      </c>
      <c r="M25" s="31">
        <v>2</v>
      </c>
      <c r="N25" s="31">
        <v>2</v>
      </c>
      <c r="O25" s="31"/>
      <c r="P25" s="31"/>
      <c r="Q25" s="31"/>
      <c r="R25" s="31"/>
      <c r="S25" s="31"/>
      <c r="T25" s="31"/>
      <c r="U25" s="31"/>
      <c r="V25" s="31">
        <f t="shared" si="0"/>
        <v>46</v>
      </c>
      <c r="W25" s="39">
        <f>V27/L4*20</f>
        <v>935.38461538461536</v>
      </c>
      <c r="X25" s="40">
        <f t="shared" si="1"/>
        <v>28.863790089994524</v>
      </c>
      <c r="Y25" s="48" t="s">
        <v>141</v>
      </c>
      <c r="Z25" s="48"/>
      <c r="AA25" s="60"/>
    </row>
    <row r="26" spans="1:27" x14ac:dyDescent="0.2">
      <c r="A26" s="81">
        <v>15</v>
      </c>
      <c r="B26" s="31">
        <v>3</v>
      </c>
      <c r="C26" s="31">
        <v>4</v>
      </c>
      <c r="D26" s="31">
        <v>1</v>
      </c>
      <c r="E26" s="31">
        <v>3</v>
      </c>
      <c r="F26" s="31">
        <v>3</v>
      </c>
      <c r="G26" s="31">
        <v>3</v>
      </c>
      <c r="H26" s="31">
        <v>3</v>
      </c>
      <c r="I26" s="31">
        <v>5</v>
      </c>
      <c r="J26" s="31">
        <v>2</v>
      </c>
      <c r="K26" s="31">
        <v>1</v>
      </c>
      <c r="L26" s="31">
        <v>1</v>
      </c>
      <c r="M26" s="31">
        <v>2</v>
      </c>
      <c r="N26" s="31">
        <v>2</v>
      </c>
      <c r="O26" s="31"/>
      <c r="P26" s="31"/>
      <c r="Q26" s="31"/>
      <c r="R26" s="31"/>
      <c r="S26" s="31"/>
      <c r="T26" s="31"/>
      <c r="U26" s="31"/>
      <c r="V26" s="31">
        <f t="shared" si="0"/>
        <v>33</v>
      </c>
      <c r="W26" s="41">
        <f>V28/L4*20</f>
        <v>45658.461538461546</v>
      </c>
      <c r="X26" s="42">
        <f t="shared" si="1"/>
        <v>45.947973010981158</v>
      </c>
      <c r="Y26" s="67" t="s">
        <v>142</v>
      </c>
      <c r="Z26" s="67"/>
      <c r="AA26" s="62"/>
    </row>
    <row r="27" spans="1:27" x14ac:dyDescent="0.2">
      <c r="A27" s="81" t="s">
        <v>126</v>
      </c>
      <c r="B27" s="31">
        <f t="shared" ref="B27:J27" si="2">SUM(B12:B26)</f>
        <v>59</v>
      </c>
      <c r="C27" s="31">
        <f t="shared" si="2"/>
        <v>57</v>
      </c>
      <c r="D27" s="31">
        <f t="shared" si="2"/>
        <v>47</v>
      </c>
      <c r="E27" s="31">
        <f t="shared" si="2"/>
        <v>47</v>
      </c>
      <c r="F27" s="31">
        <f t="shared" si="2"/>
        <v>43</v>
      </c>
      <c r="G27" s="31">
        <f t="shared" si="2"/>
        <v>55</v>
      </c>
      <c r="H27" s="31">
        <f t="shared" si="2"/>
        <v>60</v>
      </c>
      <c r="I27" s="31">
        <f t="shared" si="2"/>
        <v>57</v>
      </c>
      <c r="J27" s="31">
        <f t="shared" si="2"/>
        <v>39</v>
      </c>
      <c r="K27" s="31">
        <f t="shared" ref="K27:U27" si="3">SUM(K12:K26)</f>
        <v>40</v>
      </c>
      <c r="L27" s="31">
        <f t="shared" si="3"/>
        <v>31</v>
      </c>
      <c r="M27" s="31">
        <f t="shared" si="3"/>
        <v>31</v>
      </c>
      <c r="N27" s="31">
        <f t="shared" si="3"/>
        <v>42</v>
      </c>
      <c r="O27" s="31">
        <f t="shared" si="3"/>
        <v>0</v>
      </c>
      <c r="P27" s="31">
        <f t="shared" si="3"/>
        <v>0</v>
      </c>
      <c r="Q27" s="31">
        <f t="shared" si="3"/>
        <v>0</v>
      </c>
      <c r="R27" s="31">
        <f t="shared" si="3"/>
        <v>0</v>
      </c>
      <c r="S27" s="31">
        <f t="shared" si="3"/>
        <v>0</v>
      </c>
      <c r="T27" s="31">
        <f t="shared" si="3"/>
        <v>0</v>
      </c>
      <c r="U27" s="31">
        <f t="shared" si="3"/>
        <v>0</v>
      </c>
      <c r="V27" s="31">
        <f t="shared" si="0"/>
        <v>608</v>
      </c>
    </row>
    <row r="28" spans="1:27" x14ac:dyDescent="0.2">
      <c r="A28" s="81" t="s">
        <v>127</v>
      </c>
      <c r="B28" s="32">
        <f t="shared" ref="B28:U28" si="4">B27*B27</f>
        <v>3481</v>
      </c>
      <c r="C28" s="32">
        <f t="shared" si="4"/>
        <v>3249</v>
      </c>
      <c r="D28" s="32">
        <f t="shared" si="4"/>
        <v>2209</v>
      </c>
      <c r="E28" s="32">
        <f t="shared" si="4"/>
        <v>2209</v>
      </c>
      <c r="F28" s="32">
        <f t="shared" si="4"/>
        <v>1849</v>
      </c>
      <c r="G28" s="32">
        <f t="shared" si="4"/>
        <v>3025</v>
      </c>
      <c r="H28" s="32">
        <f t="shared" si="4"/>
        <v>3600</v>
      </c>
      <c r="I28" s="32">
        <f t="shared" si="4"/>
        <v>3249</v>
      </c>
      <c r="J28" s="32">
        <f t="shared" si="4"/>
        <v>1521</v>
      </c>
      <c r="K28" s="32">
        <f t="shared" si="4"/>
        <v>1600</v>
      </c>
      <c r="L28" s="32">
        <f t="shared" si="4"/>
        <v>961</v>
      </c>
      <c r="M28" s="32">
        <f t="shared" si="4"/>
        <v>961</v>
      </c>
      <c r="N28" s="32">
        <f t="shared" si="4"/>
        <v>1764</v>
      </c>
      <c r="O28" s="32">
        <f t="shared" si="4"/>
        <v>0</v>
      </c>
      <c r="P28" s="32">
        <f t="shared" si="4"/>
        <v>0</v>
      </c>
      <c r="Q28" s="32">
        <f t="shared" si="4"/>
        <v>0</v>
      </c>
      <c r="R28" s="32">
        <f t="shared" si="4"/>
        <v>0</v>
      </c>
      <c r="S28" s="32">
        <f t="shared" si="4"/>
        <v>0</v>
      </c>
      <c r="T28" s="32">
        <f t="shared" si="4"/>
        <v>0</v>
      </c>
      <c r="U28" s="32">
        <f t="shared" si="4"/>
        <v>0</v>
      </c>
      <c r="V28" s="32">
        <f t="shared" si="0"/>
        <v>29678</v>
      </c>
    </row>
    <row r="30" spans="1:27" x14ac:dyDescent="0.2">
      <c r="A30" s="2"/>
      <c r="V30" s="31"/>
    </row>
    <row r="31" spans="1:27" x14ac:dyDescent="0.2">
      <c r="A31" s="28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</row>
    <row r="32" spans="1:27" x14ac:dyDescent="0.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</row>
    <row r="33" spans="1:28" x14ac:dyDescent="0.2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</row>
    <row r="34" spans="1:28" x14ac:dyDescent="0.2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</row>
    <row r="35" spans="1:28" x14ac:dyDescent="0.2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</row>
    <row r="36" spans="1:28" x14ac:dyDescent="0.2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</row>
    <row r="37" spans="1:28" x14ac:dyDescent="0.2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</row>
    <row r="38" spans="1:28" x14ac:dyDescent="0.2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spans="1:28" x14ac:dyDescent="0.2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</row>
    <row r="40" spans="1:28" x14ac:dyDescent="0.2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</row>
    <row r="41" spans="1:28" x14ac:dyDescent="0.2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8" x14ac:dyDescent="0.2">
      <c r="A42" s="2" t="s">
        <v>0</v>
      </c>
    </row>
    <row r="43" spans="1:28" x14ac:dyDescent="0.2">
      <c r="A43" s="31" t="s">
        <v>1</v>
      </c>
      <c r="B43" s="31" t="s">
        <v>110</v>
      </c>
      <c r="C43" s="31" t="s">
        <v>111</v>
      </c>
      <c r="D43" s="31" t="s">
        <v>112</v>
      </c>
      <c r="E43" s="31" t="s">
        <v>113</v>
      </c>
      <c r="F43" s="31" t="s">
        <v>114</v>
      </c>
      <c r="G43" s="31" t="s">
        <v>115</v>
      </c>
      <c r="H43" s="31" t="s">
        <v>116</v>
      </c>
      <c r="I43" s="31" t="s">
        <v>117</v>
      </c>
      <c r="J43" s="31" t="s">
        <v>118</v>
      </c>
      <c r="K43" s="31" t="s">
        <v>119</v>
      </c>
      <c r="L43" s="31" t="s">
        <v>120</v>
      </c>
      <c r="M43" s="31" t="s">
        <v>121</v>
      </c>
      <c r="N43" s="31" t="s">
        <v>122</v>
      </c>
      <c r="O43" s="31" t="s">
        <v>123</v>
      </c>
      <c r="P43" s="31" t="s">
        <v>124</v>
      </c>
      <c r="Q43" s="31" t="s">
        <v>12</v>
      </c>
      <c r="R43" s="31" t="s">
        <v>14</v>
      </c>
      <c r="S43" s="31" t="s">
        <v>15</v>
      </c>
      <c r="T43" s="31" t="s">
        <v>16</v>
      </c>
      <c r="U43" s="31" t="s">
        <v>17</v>
      </c>
      <c r="V43" t="s">
        <v>22</v>
      </c>
      <c r="W43" t="s">
        <v>10</v>
      </c>
      <c r="X43" t="s">
        <v>11</v>
      </c>
      <c r="Y43" s="56" t="s">
        <v>122</v>
      </c>
      <c r="Z43" s="56" t="s">
        <v>12</v>
      </c>
      <c r="AA43" s="56" t="s">
        <v>19</v>
      </c>
      <c r="AB43" s="56" t="s">
        <v>20</v>
      </c>
    </row>
    <row r="44" spans="1:28" x14ac:dyDescent="0.2">
      <c r="A44" s="76">
        <v>1</v>
      </c>
      <c r="B44" s="31">
        <f>B12*B12</f>
        <v>16</v>
      </c>
      <c r="C44" s="31">
        <f t="shared" ref="C44:Q44" si="5">C12*C12</f>
        <v>16</v>
      </c>
      <c r="D44" s="31">
        <f t="shared" si="5"/>
        <v>4</v>
      </c>
      <c r="E44" s="31">
        <f t="shared" si="5"/>
        <v>9</v>
      </c>
      <c r="F44" s="31">
        <f t="shared" si="5"/>
        <v>16</v>
      </c>
      <c r="G44" s="31">
        <f t="shared" si="5"/>
        <v>16</v>
      </c>
      <c r="H44" s="31">
        <f t="shared" si="5"/>
        <v>25</v>
      </c>
      <c r="I44" s="31">
        <f t="shared" si="5"/>
        <v>9</v>
      </c>
      <c r="J44" s="31">
        <f t="shared" si="5"/>
        <v>4</v>
      </c>
      <c r="K44" s="31">
        <f t="shared" si="5"/>
        <v>4</v>
      </c>
      <c r="L44" s="31">
        <f t="shared" si="5"/>
        <v>4</v>
      </c>
      <c r="M44" s="31">
        <f t="shared" si="5"/>
        <v>4</v>
      </c>
      <c r="N44" s="31">
        <f t="shared" si="5"/>
        <v>4</v>
      </c>
      <c r="O44" s="31">
        <f t="shared" si="5"/>
        <v>0</v>
      </c>
      <c r="P44" s="31">
        <f t="shared" si="5"/>
        <v>0</v>
      </c>
      <c r="Q44" s="31">
        <f t="shared" si="5"/>
        <v>0</v>
      </c>
      <c r="R44" s="31"/>
      <c r="S44" s="31"/>
      <c r="T44" s="31"/>
      <c r="U44" s="31"/>
      <c r="V44">
        <f t="shared" ref="V44:V58" si="6">SUM(B44:U44)</f>
        <v>131</v>
      </c>
      <c r="W44">
        <f t="shared" ref="W44:W58" si="7">V12*V12</f>
        <v>1521</v>
      </c>
      <c r="X44">
        <f>L4*(L4-1)</f>
        <v>156</v>
      </c>
      <c r="Y44" s="56">
        <f>L4*V44-W44</f>
        <v>182</v>
      </c>
      <c r="Z44" s="56">
        <f>Y44/X44</f>
        <v>1.1666666666666667</v>
      </c>
      <c r="AA44" s="56">
        <f>SQRT(Z44)</f>
        <v>1.0801234497346435</v>
      </c>
      <c r="AB44" s="56">
        <f>AA44/4*100</f>
        <v>27.003086243366088</v>
      </c>
    </row>
    <row r="45" spans="1:28" x14ac:dyDescent="0.2">
      <c r="A45" s="76">
        <v>2</v>
      </c>
      <c r="B45" s="31">
        <f t="shared" ref="B45:Q45" si="8">B13*B13</f>
        <v>16</v>
      </c>
      <c r="C45" s="31">
        <f t="shared" si="8"/>
        <v>16</v>
      </c>
      <c r="D45" s="31">
        <f t="shared" si="8"/>
        <v>9</v>
      </c>
      <c r="E45" s="31">
        <f t="shared" si="8"/>
        <v>16</v>
      </c>
      <c r="F45" s="31">
        <f t="shared" si="8"/>
        <v>9</v>
      </c>
      <c r="G45" s="31">
        <f t="shared" si="8"/>
        <v>16</v>
      </c>
      <c r="H45" s="31">
        <f t="shared" si="8"/>
        <v>9</v>
      </c>
      <c r="I45" s="31">
        <f t="shared" si="8"/>
        <v>1</v>
      </c>
      <c r="J45" s="31">
        <f t="shared" si="8"/>
        <v>9</v>
      </c>
      <c r="K45" s="31">
        <f t="shared" si="8"/>
        <v>9</v>
      </c>
      <c r="L45" s="31">
        <f t="shared" si="8"/>
        <v>9</v>
      </c>
      <c r="M45" s="31">
        <f t="shared" si="8"/>
        <v>16</v>
      </c>
      <c r="N45" s="31">
        <f t="shared" si="8"/>
        <v>16</v>
      </c>
      <c r="O45" s="31">
        <f t="shared" si="8"/>
        <v>0</v>
      </c>
      <c r="P45" s="31">
        <f t="shared" si="8"/>
        <v>0</v>
      </c>
      <c r="Q45" s="31">
        <f t="shared" si="8"/>
        <v>0</v>
      </c>
      <c r="R45" s="31"/>
      <c r="S45" s="31"/>
      <c r="T45" s="31"/>
      <c r="U45" s="31"/>
      <c r="V45">
        <f t="shared" si="6"/>
        <v>151</v>
      </c>
      <c r="W45">
        <f t="shared" si="7"/>
        <v>1849</v>
      </c>
      <c r="X45">
        <f>L4*(L4-1)</f>
        <v>156</v>
      </c>
      <c r="Y45" s="56">
        <f>L4*V45-W45</f>
        <v>114</v>
      </c>
      <c r="Z45" s="56">
        <f t="shared" ref="Z45:Z56" si="9">Y45/X45</f>
        <v>0.73076923076923073</v>
      </c>
      <c r="AA45" s="56">
        <f t="shared" ref="AA45:AA56" si="10">SQRT(Z45)</f>
        <v>0.85485041426511033</v>
      </c>
      <c r="AB45" s="56">
        <f t="shared" ref="AB45:AB56" si="11">AA45/4*100</f>
        <v>21.371260356627758</v>
      </c>
    </row>
    <row r="46" spans="1:28" x14ac:dyDescent="0.2">
      <c r="A46" s="76">
        <v>3</v>
      </c>
      <c r="B46" s="31">
        <f t="shared" ref="B46:Q46" si="12">B14*B14</f>
        <v>25</v>
      </c>
      <c r="C46" s="31">
        <f t="shared" si="12"/>
        <v>25</v>
      </c>
      <c r="D46" s="31">
        <f t="shared" si="12"/>
        <v>4</v>
      </c>
      <c r="E46" s="31">
        <f t="shared" si="12"/>
        <v>9</v>
      </c>
      <c r="F46" s="31">
        <f t="shared" si="12"/>
        <v>9</v>
      </c>
      <c r="G46" s="31">
        <f t="shared" si="12"/>
        <v>9</v>
      </c>
      <c r="H46" s="31">
        <f t="shared" si="12"/>
        <v>25</v>
      </c>
      <c r="I46" s="31">
        <f t="shared" si="12"/>
        <v>1</v>
      </c>
      <c r="J46" s="31">
        <f t="shared" si="12"/>
        <v>9</v>
      </c>
      <c r="K46" s="31">
        <f t="shared" si="12"/>
        <v>4</v>
      </c>
      <c r="L46" s="31">
        <f t="shared" si="12"/>
        <v>1</v>
      </c>
      <c r="M46" s="31">
        <f t="shared" si="12"/>
        <v>1</v>
      </c>
      <c r="N46" s="31">
        <f t="shared" si="12"/>
        <v>16</v>
      </c>
      <c r="O46" s="31">
        <f t="shared" si="12"/>
        <v>0</v>
      </c>
      <c r="P46" s="31">
        <f t="shared" si="12"/>
        <v>0</v>
      </c>
      <c r="Q46" s="31">
        <f t="shared" si="12"/>
        <v>0</v>
      </c>
      <c r="R46" s="31"/>
      <c r="S46" s="31"/>
      <c r="T46" s="31"/>
      <c r="U46" s="31"/>
      <c r="V46">
        <f t="shared" si="6"/>
        <v>138</v>
      </c>
      <c r="W46">
        <f t="shared" si="7"/>
        <v>1444</v>
      </c>
      <c r="X46">
        <f>L4*(L4-1)</f>
        <v>156</v>
      </c>
      <c r="Y46" s="56">
        <f>L4*V46-W46</f>
        <v>350</v>
      </c>
      <c r="Z46" s="56">
        <f t="shared" si="9"/>
        <v>2.2435897435897436</v>
      </c>
      <c r="AA46" s="56">
        <f t="shared" si="10"/>
        <v>1.4978617237881953</v>
      </c>
      <c r="AB46" s="56">
        <f t="shared" si="11"/>
        <v>37.446543094704879</v>
      </c>
    </row>
    <row r="47" spans="1:28" x14ac:dyDescent="0.2">
      <c r="A47" s="76">
        <v>4</v>
      </c>
      <c r="B47" s="31">
        <f t="shared" ref="B47:Q47" si="13">B15*B15</f>
        <v>25</v>
      </c>
      <c r="C47" s="31">
        <f t="shared" si="13"/>
        <v>9</v>
      </c>
      <c r="D47" s="31">
        <f t="shared" si="13"/>
        <v>4</v>
      </c>
      <c r="E47" s="31">
        <f t="shared" si="13"/>
        <v>9</v>
      </c>
      <c r="F47" s="31">
        <f t="shared" si="13"/>
        <v>16</v>
      </c>
      <c r="G47" s="31">
        <f t="shared" si="13"/>
        <v>4</v>
      </c>
      <c r="H47" s="31">
        <f t="shared" si="13"/>
        <v>25</v>
      </c>
      <c r="I47" s="31">
        <f t="shared" si="13"/>
        <v>25</v>
      </c>
      <c r="J47" s="31">
        <f t="shared" si="13"/>
        <v>9</v>
      </c>
      <c r="K47" s="31">
        <f t="shared" si="13"/>
        <v>16</v>
      </c>
      <c r="L47" s="31">
        <f t="shared" si="13"/>
        <v>9</v>
      </c>
      <c r="M47" s="31">
        <f t="shared" si="13"/>
        <v>4</v>
      </c>
      <c r="N47" s="31">
        <f t="shared" si="13"/>
        <v>16</v>
      </c>
      <c r="O47" s="31">
        <f t="shared" si="13"/>
        <v>0</v>
      </c>
      <c r="P47" s="31">
        <f t="shared" si="13"/>
        <v>0</v>
      </c>
      <c r="Q47" s="31">
        <f t="shared" si="13"/>
        <v>0</v>
      </c>
      <c r="R47" s="31"/>
      <c r="S47" s="31"/>
      <c r="T47" s="31"/>
      <c r="U47" s="31"/>
      <c r="V47">
        <f t="shared" si="6"/>
        <v>171</v>
      </c>
      <c r="W47">
        <f t="shared" si="7"/>
        <v>2025</v>
      </c>
      <c r="X47">
        <f>L4*(L4-1)</f>
        <v>156</v>
      </c>
      <c r="Y47" s="56">
        <f>L4*V47-W47</f>
        <v>198</v>
      </c>
      <c r="Z47" s="56">
        <f t="shared" si="9"/>
        <v>1.2692307692307692</v>
      </c>
      <c r="AA47" s="56">
        <f t="shared" si="10"/>
        <v>1.1266014242982161</v>
      </c>
      <c r="AB47" s="56">
        <f t="shared" si="11"/>
        <v>28.165035607455401</v>
      </c>
    </row>
    <row r="48" spans="1:28" x14ac:dyDescent="0.2">
      <c r="A48" s="76">
        <v>5</v>
      </c>
      <c r="B48" s="31">
        <f t="shared" ref="B48:Q48" si="14">B16*B16</f>
        <v>16</v>
      </c>
      <c r="C48" s="31">
        <f t="shared" si="14"/>
        <v>16</v>
      </c>
      <c r="D48" s="31">
        <f t="shared" si="14"/>
        <v>4</v>
      </c>
      <c r="E48" s="31">
        <f t="shared" si="14"/>
        <v>4</v>
      </c>
      <c r="F48" s="31">
        <f t="shared" si="14"/>
        <v>9</v>
      </c>
      <c r="G48" s="31">
        <f t="shared" si="14"/>
        <v>16</v>
      </c>
      <c r="H48" s="31">
        <f t="shared" si="14"/>
        <v>16</v>
      </c>
      <c r="I48" s="31">
        <f t="shared" si="14"/>
        <v>16</v>
      </c>
      <c r="J48" s="31">
        <f t="shared" si="14"/>
        <v>4</v>
      </c>
      <c r="K48" s="31">
        <f t="shared" si="14"/>
        <v>4</v>
      </c>
      <c r="L48" s="31">
        <f t="shared" si="14"/>
        <v>4</v>
      </c>
      <c r="M48" s="31">
        <f t="shared" si="14"/>
        <v>4</v>
      </c>
      <c r="N48" s="31">
        <f t="shared" si="14"/>
        <v>4</v>
      </c>
      <c r="O48" s="31">
        <f t="shared" si="14"/>
        <v>0</v>
      </c>
      <c r="P48" s="31">
        <f t="shared" si="14"/>
        <v>0</v>
      </c>
      <c r="Q48" s="31">
        <f t="shared" si="14"/>
        <v>0</v>
      </c>
      <c r="R48" s="31"/>
      <c r="S48" s="31"/>
      <c r="T48" s="31"/>
      <c r="U48" s="31"/>
      <c r="V48">
        <f t="shared" si="6"/>
        <v>117</v>
      </c>
      <c r="W48">
        <f t="shared" si="7"/>
        <v>1369</v>
      </c>
      <c r="X48">
        <f>L4*(L4-1)</f>
        <v>156</v>
      </c>
      <c r="Y48" s="56">
        <f>L4*V48-W48</f>
        <v>152</v>
      </c>
      <c r="Z48" s="56">
        <f t="shared" si="9"/>
        <v>0.97435897435897434</v>
      </c>
      <c r="AA48" s="56">
        <f t="shared" si="10"/>
        <v>0.98709623358564913</v>
      </c>
      <c r="AB48" s="56">
        <f t="shared" si="11"/>
        <v>24.677405839641228</v>
      </c>
    </row>
    <row r="49" spans="1:28" x14ac:dyDescent="0.2">
      <c r="A49" s="76">
        <v>6</v>
      </c>
      <c r="B49" s="31">
        <f t="shared" ref="B49:Q49" si="15">B17*B17</f>
        <v>25</v>
      </c>
      <c r="C49" s="31">
        <f t="shared" si="15"/>
        <v>16</v>
      </c>
      <c r="D49" s="31">
        <f t="shared" si="15"/>
        <v>25</v>
      </c>
      <c r="E49" s="31">
        <f t="shared" si="15"/>
        <v>4</v>
      </c>
      <c r="F49" s="31">
        <f t="shared" si="15"/>
        <v>16</v>
      </c>
      <c r="G49" s="31">
        <f t="shared" si="15"/>
        <v>16</v>
      </c>
      <c r="H49" s="31">
        <f t="shared" si="15"/>
        <v>25</v>
      </c>
      <c r="I49" s="31">
        <f t="shared" si="15"/>
        <v>25</v>
      </c>
      <c r="J49" s="31">
        <f t="shared" si="15"/>
        <v>4</v>
      </c>
      <c r="K49" s="31">
        <f t="shared" si="15"/>
        <v>16</v>
      </c>
      <c r="L49" s="31">
        <f t="shared" si="15"/>
        <v>1</v>
      </c>
      <c r="M49" s="31">
        <f t="shared" si="15"/>
        <v>4</v>
      </c>
      <c r="N49" s="31">
        <f t="shared" si="15"/>
        <v>4</v>
      </c>
      <c r="O49" s="31">
        <f t="shared" si="15"/>
        <v>0</v>
      </c>
      <c r="P49" s="31">
        <f t="shared" si="15"/>
        <v>0</v>
      </c>
      <c r="Q49" s="31">
        <f t="shared" si="15"/>
        <v>0</v>
      </c>
      <c r="R49" s="31"/>
      <c r="S49" s="31"/>
      <c r="T49" s="31"/>
      <c r="U49" s="31"/>
      <c r="V49">
        <f t="shared" si="6"/>
        <v>181</v>
      </c>
      <c r="W49">
        <f t="shared" si="7"/>
        <v>2025</v>
      </c>
      <c r="X49">
        <f>L4*(L4-1)</f>
        <v>156</v>
      </c>
      <c r="Y49" s="56">
        <f>L4*V49-W49</f>
        <v>328</v>
      </c>
      <c r="Z49" s="56">
        <f t="shared" si="9"/>
        <v>2.1025641025641026</v>
      </c>
      <c r="AA49" s="56">
        <f t="shared" si="10"/>
        <v>1.4500221041639685</v>
      </c>
      <c r="AB49" s="56">
        <f t="shared" si="11"/>
        <v>36.250552604099212</v>
      </c>
    </row>
    <row r="50" spans="1:28" x14ac:dyDescent="0.2">
      <c r="A50" s="76">
        <v>7</v>
      </c>
      <c r="B50" s="31">
        <f t="shared" ref="B50:Q50" si="16">B18*B18</f>
        <v>25</v>
      </c>
      <c r="C50" s="31">
        <f t="shared" si="16"/>
        <v>4</v>
      </c>
      <c r="D50" s="31">
        <f t="shared" si="16"/>
        <v>16</v>
      </c>
      <c r="E50" s="31">
        <f t="shared" si="16"/>
        <v>16</v>
      </c>
      <c r="F50" s="31">
        <f t="shared" si="16"/>
        <v>9</v>
      </c>
      <c r="G50" s="31">
        <f t="shared" si="16"/>
        <v>16</v>
      </c>
      <c r="H50" s="31">
        <f t="shared" si="16"/>
        <v>16</v>
      </c>
      <c r="I50" s="31">
        <f t="shared" si="16"/>
        <v>16</v>
      </c>
      <c r="J50" s="31">
        <f t="shared" si="16"/>
        <v>4</v>
      </c>
      <c r="K50" s="31">
        <f t="shared" si="16"/>
        <v>9</v>
      </c>
      <c r="L50" s="31">
        <f t="shared" si="16"/>
        <v>4</v>
      </c>
      <c r="M50" s="31">
        <f t="shared" si="16"/>
        <v>4</v>
      </c>
      <c r="N50" s="31">
        <f t="shared" si="16"/>
        <v>16</v>
      </c>
      <c r="O50" s="31">
        <f t="shared" si="16"/>
        <v>0</v>
      </c>
      <c r="P50" s="31">
        <f t="shared" si="16"/>
        <v>0</v>
      </c>
      <c r="Q50" s="31">
        <f t="shared" si="16"/>
        <v>0</v>
      </c>
      <c r="R50" s="31"/>
      <c r="S50" s="31"/>
      <c r="T50" s="31"/>
      <c r="U50" s="31"/>
      <c r="V50">
        <f t="shared" si="6"/>
        <v>155</v>
      </c>
      <c r="W50">
        <f t="shared" si="7"/>
        <v>1849</v>
      </c>
      <c r="X50">
        <f>L4*(L4-1)</f>
        <v>156</v>
      </c>
      <c r="Y50" s="56">
        <f>L4*V50-W50</f>
        <v>166</v>
      </c>
      <c r="Z50" s="56">
        <f t="shared" si="9"/>
        <v>1.0641025641025641</v>
      </c>
      <c r="AA50" s="56">
        <f t="shared" si="10"/>
        <v>1.031553471276484</v>
      </c>
      <c r="AB50" s="56">
        <f t="shared" si="11"/>
        <v>25.788836781912099</v>
      </c>
    </row>
    <row r="51" spans="1:28" x14ac:dyDescent="0.2">
      <c r="A51" s="76">
        <v>8</v>
      </c>
      <c r="B51" s="31">
        <f t="shared" ref="B51:Q51" si="17">B19*B19</f>
        <v>9</v>
      </c>
      <c r="C51" s="31">
        <f t="shared" si="17"/>
        <v>16</v>
      </c>
      <c r="D51" s="31">
        <f t="shared" si="17"/>
        <v>4</v>
      </c>
      <c r="E51" s="31">
        <f t="shared" si="17"/>
        <v>9</v>
      </c>
      <c r="F51" s="31">
        <f t="shared" si="17"/>
        <v>1</v>
      </c>
      <c r="G51" s="31">
        <f t="shared" si="17"/>
        <v>16</v>
      </c>
      <c r="H51" s="31">
        <f t="shared" si="17"/>
        <v>4</v>
      </c>
      <c r="I51" s="31">
        <f t="shared" si="17"/>
        <v>9</v>
      </c>
      <c r="J51" s="31">
        <f t="shared" si="17"/>
        <v>4</v>
      </c>
      <c r="K51" s="31">
        <f t="shared" si="17"/>
        <v>1</v>
      </c>
      <c r="L51" s="31">
        <f t="shared" si="17"/>
        <v>4</v>
      </c>
      <c r="M51" s="31">
        <f t="shared" si="17"/>
        <v>4</v>
      </c>
      <c r="N51" s="31">
        <f t="shared" si="17"/>
        <v>16</v>
      </c>
      <c r="O51" s="31">
        <f t="shared" si="17"/>
        <v>0</v>
      </c>
      <c r="P51" s="31">
        <f t="shared" si="17"/>
        <v>0</v>
      </c>
      <c r="Q51" s="31">
        <f t="shared" si="17"/>
        <v>0</v>
      </c>
      <c r="R51" s="31"/>
      <c r="S51" s="31"/>
      <c r="T51" s="31"/>
      <c r="U51" s="31"/>
      <c r="V51">
        <f t="shared" si="6"/>
        <v>97</v>
      </c>
      <c r="W51">
        <f t="shared" si="7"/>
        <v>1089</v>
      </c>
      <c r="X51">
        <f>L4*(L4-1)</f>
        <v>156</v>
      </c>
      <c r="Y51" s="56">
        <f>L4*V51-W51</f>
        <v>172</v>
      </c>
      <c r="Z51" s="56">
        <f t="shared" si="9"/>
        <v>1.1025641025641026</v>
      </c>
      <c r="AA51" s="56">
        <f t="shared" si="10"/>
        <v>1.0500305245868344</v>
      </c>
      <c r="AB51" s="56">
        <f t="shared" si="11"/>
        <v>26.25076311467086</v>
      </c>
    </row>
    <row r="52" spans="1:28" x14ac:dyDescent="0.2">
      <c r="A52" s="76">
        <v>9</v>
      </c>
      <c r="B52" s="31">
        <f t="shared" ref="B52:Q52" si="18">B20*B20</f>
        <v>9</v>
      </c>
      <c r="C52" s="31">
        <f t="shared" si="18"/>
        <v>9</v>
      </c>
      <c r="D52" s="31">
        <f t="shared" si="18"/>
        <v>9</v>
      </c>
      <c r="E52" s="31">
        <f t="shared" si="18"/>
        <v>4</v>
      </c>
      <c r="F52" s="31">
        <f t="shared" si="18"/>
        <v>1</v>
      </c>
      <c r="G52" s="31">
        <f t="shared" si="18"/>
        <v>16</v>
      </c>
      <c r="H52" s="31">
        <f t="shared" si="18"/>
        <v>16</v>
      </c>
      <c r="I52" s="31">
        <f t="shared" si="18"/>
        <v>16</v>
      </c>
      <c r="J52" s="31">
        <f t="shared" si="18"/>
        <v>4</v>
      </c>
      <c r="K52" s="31">
        <f t="shared" si="18"/>
        <v>16</v>
      </c>
      <c r="L52" s="31">
        <f t="shared" si="18"/>
        <v>1</v>
      </c>
      <c r="M52" s="31">
        <f t="shared" si="18"/>
        <v>4</v>
      </c>
      <c r="N52" s="31">
        <f t="shared" si="18"/>
        <v>16</v>
      </c>
      <c r="O52" s="31">
        <f t="shared" si="18"/>
        <v>0</v>
      </c>
      <c r="P52" s="31">
        <f t="shared" si="18"/>
        <v>0</v>
      </c>
      <c r="Q52" s="31">
        <f t="shared" si="18"/>
        <v>0</v>
      </c>
      <c r="R52" s="31"/>
      <c r="S52" s="31"/>
      <c r="T52" s="31"/>
      <c r="U52" s="31"/>
      <c r="V52">
        <f t="shared" si="6"/>
        <v>121</v>
      </c>
      <c r="W52">
        <f t="shared" si="7"/>
        <v>1369</v>
      </c>
      <c r="X52">
        <f>L4*(L4-1)</f>
        <v>156</v>
      </c>
      <c r="Y52" s="56">
        <f>L4*V52-W52</f>
        <v>204</v>
      </c>
      <c r="Z52" s="56">
        <f t="shared" si="9"/>
        <v>1.3076923076923077</v>
      </c>
      <c r="AA52" s="56">
        <f t="shared" si="10"/>
        <v>1.1435437497937313</v>
      </c>
      <c r="AB52" s="56">
        <f t="shared" si="11"/>
        <v>28.588593744843283</v>
      </c>
    </row>
    <row r="53" spans="1:28" x14ac:dyDescent="0.2">
      <c r="A53" s="76">
        <v>10</v>
      </c>
      <c r="B53" s="31">
        <f t="shared" ref="B53:Q53" si="19">B21*B21</f>
        <v>16</v>
      </c>
      <c r="C53" s="31">
        <f t="shared" si="19"/>
        <v>16</v>
      </c>
      <c r="D53" s="31">
        <f t="shared" si="19"/>
        <v>25</v>
      </c>
      <c r="E53" s="31">
        <f t="shared" si="19"/>
        <v>16</v>
      </c>
      <c r="F53" s="31">
        <f t="shared" si="19"/>
        <v>9</v>
      </c>
      <c r="G53" s="31">
        <f t="shared" si="19"/>
        <v>25</v>
      </c>
      <c r="H53" s="31">
        <f t="shared" si="19"/>
        <v>25</v>
      </c>
      <c r="I53" s="31">
        <f t="shared" si="19"/>
        <v>25</v>
      </c>
      <c r="J53" s="31">
        <f t="shared" si="19"/>
        <v>16</v>
      </c>
      <c r="K53" s="31">
        <f t="shared" si="19"/>
        <v>16</v>
      </c>
      <c r="L53" s="31">
        <f t="shared" si="19"/>
        <v>9</v>
      </c>
      <c r="M53" s="31">
        <f t="shared" si="19"/>
        <v>4</v>
      </c>
      <c r="N53" s="31">
        <f t="shared" si="19"/>
        <v>4</v>
      </c>
      <c r="O53" s="31">
        <f t="shared" si="19"/>
        <v>0</v>
      </c>
      <c r="P53" s="31">
        <f t="shared" si="19"/>
        <v>0</v>
      </c>
      <c r="Q53" s="31">
        <f t="shared" si="19"/>
        <v>0</v>
      </c>
      <c r="R53" s="31"/>
      <c r="S53" s="31"/>
      <c r="T53" s="31"/>
      <c r="U53" s="31"/>
      <c r="V53">
        <f t="shared" si="6"/>
        <v>206</v>
      </c>
      <c r="W53">
        <f t="shared" si="7"/>
        <v>2500</v>
      </c>
      <c r="X53">
        <f>L4*(L4-1)</f>
        <v>156</v>
      </c>
      <c r="Y53" s="56">
        <f>L4*V53-W53</f>
        <v>178</v>
      </c>
      <c r="Z53" s="56">
        <f t="shared" si="9"/>
        <v>1.141025641025641</v>
      </c>
      <c r="AA53" s="56">
        <f t="shared" si="10"/>
        <v>1.0681880176381127</v>
      </c>
      <c r="AB53" s="56">
        <f t="shared" si="11"/>
        <v>26.704700440952816</v>
      </c>
    </row>
    <row r="54" spans="1:28" x14ac:dyDescent="0.2">
      <c r="A54" s="76">
        <v>11</v>
      </c>
      <c r="B54" s="31">
        <f t="shared" ref="B54:Q54" si="20">B22*B22</f>
        <v>9</v>
      </c>
      <c r="C54" s="31">
        <f t="shared" si="20"/>
        <v>16</v>
      </c>
      <c r="D54" s="31">
        <f t="shared" si="20"/>
        <v>25</v>
      </c>
      <c r="E54" s="31">
        <f t="shared" si="20"/>
        <v>16</v>
      </c>
      <c r="F54" s="31">
        <f t="shared" si="20"/>
        <v>9</v>
      </c>
      <c r="G54" s="31">
        <f t="shared" si="20"/>
        <v>16</v>
      </c>
      <c r="H54" s="31">
        <f t="shared" si="20"/>
        <v>25</v>
      </c>
      <c r="I54" s="31">
        <f t="shared" si="20"/>
        <v>16</v>
      </c>
      <c r="J54" s="31">
        <f t="shared" si="20"/>
        <v>16</v>
      </c>
      <c r="K54" s="31">
        <f t="shared" si="20"/>
        <v>4</v>
      </c>
      <c r="L54" s="31">
        <f t="shared" si="20"/>
        <v>9</v>
      </c>
      <c r="M54" s="31">
        <f t="shared" si="20"/>
        <v>4</v>
      </c>
      <c r="N54" s="31">
        <f t="shared" si="20"/>
        <v>4</v>
      </c>
      <c r="O54" s="31">
        <f t="shared" si="20"/>
        <v>0</v>
      </c>
      <c r="P54" s="31">
        <f t="shared" si="20"/>
        <v>0</v>
      </c>
      <c r="Q54" s="31">
        <f t="shared" si="20"/>
        <v>0</v>
      </c>
      <c r="R54" s="31"/>
      <c r="S54" s="31"/>
      <c r="T54" s="31"/>
      <c r="U54" s="31"/>
      <c r="V54">
        <f t="shared" si="6"/>
        <v>169</v>
      </c>
      <c r="W54">
        <f t="shared" si="7"/>
        <v>2025</v>
      </c>
      <c r="X54">
        <f>L4*(L4-1)</f>
        <v>156</v>
      </c>
      <c r="Y54" s="56">
        <f>L4*V54-W54</f>
        <v>172</v>
      </c>
      <c r="Z54" s="56">
        <f t="shared" si="9"/>
        <v>1.1025641025641026</v>
      </c>
      <c r="AA54" s="56">
        <f t="shared" si="10"/>
        <v>1.0500305245868344</v>
      </c>
      <c r="AB54" s="56">
        <f t="shared" si="11"/>
        <v>26.25076311467086</v>
      </c>
    </row>
    <row r="55" spans="1:28" x14ac:dyDescent="0.2">
      <c r="A55" s="76">
        <v>12</v>
      </c>
      <c r="B55" s="31">
        <f t="shared" ref="B55:Q55" si="21">B23*B23</f>
        <v>9</v>
      </c>
      <c r="C55" s="31">
        <f t="shared" si="21"/>
        <v>16</v>
      </c>
      <c r="D55" s="31">
        <f t="shared" si="21"/>
        <v>25</v>
      </c>
      <c r="E55" s="31">
        <f t="shared" si="21"/>
        <v>9</v>
      </c>
      <c r="F55" s="31">
        <f t="shared" si="21"/>
        <v>4</v>
      </c>
      <c r="G55" s="31">
        <f t="shared" si="21"/>
        <v>4</v>
      </c>
      <c r="H55" s="31">
        <f t="shared" si="21"/>
        <v>1</v>
      </c>
      <c r="I55" s="31">
        <f t="shared" si="21"/>
        <v>25</v>
      </c>
      <c r="J55" s="31">
        <f t="shared" si="21"/>
        <v>9</v>
      </c>
      <c r="K55" s="31">
        <f t="shared" si="21"/>
        <v>9</v>
      </c>
      <c r="L55" s="31">
        <f t="shared" si="21"/>
        <v>1</v>
      </c>
      <c r="M55" s="31">
        <f t="shared" si="21"/>
        <v>4</v>
      </c>
      <c r="N55" s="31">
        <f t="shared" si="21"/>
        <v>4</v>
      </c>
      <c r="O55" s="31">
        <f t="shared" si="21"/>
        <v>0</v>
      </c>
      <c r="P55" s="31">
        <f t="shared" si="21"/>
        <v>0</v>
      </c>
      <c r="Q55" s="31">
        <f t="shared" si="21"/>
        <v>0</v>
      </c>
      <c r="R55" s="31"/>
      <c r="S55" s="31"/>
      <c r="T55" s="31"/>
      <c r="U55" s="31"/>
      <c r="V55">
        <f t="shared" si="6"/>
        <v>120</v>
      </c>
      <c r="W55">
        <f t="shared" si="7"/>
        <v>1296</v>
      </c>
      <c r="X55">
        <f>L4*(L4-1)</f>
        <v>156</v>
      </c>
      <c r="Y55" s="56">
        <f>L4*V55-W55</f>
        <v>264</v>
      </c>
      <c r="Z55" s="56">
        <f>Y55/X55</f>
        <v>1.6923076923076923</v>
      </c>
      <c r="AA55" s="56">
        <f>SQRT(Z55)</f>
        <v>1.3008872711759818</v>
      </c>
      <c r="AB55" s="56">
        <f>AA55/4*100</f>
        <v>32.522181779399546</v>
      </c>
    </row>
    <row r="56" spans="1:28" x14ac:dyDescent="0.2">
      <c r="A56" s="76">
        <v>13</v>
      </c>
      <c r="B56" s="31">
        <f t="shared" ref="B56:Q56" si="22">B24*B24</f>
        <v>16</v>
      </c>
      <c r="C56" s="31">
        <f t="shared" si="22"/>
        <v>9</v>
      </c>
      <c r="D56" s="31">
        <f t="shared" si="22"/>
        <v>1</v>
      </c>
      <c r="E56" s="31">
        <f t="shared" si="22"/>
        <v>9</v>
      </c>
      <c r="F56" s="31">
        <f t="shared" si="22"/>
        <v>9</v>
      </c>
      <c r="G56" s="31">
        <f t="shared" si="22"/>
        <v>16</v>
      </c>
      <c r="H56" s="31">
        <f t="shared" si="22"/>
        <v>16</v>
      </c>
      <c r="I56" s="31">
        <f t="shared" si="22"/>
        <v>16</v>
      </c>
      <c r="J56" s="31">
        <f t="shared" si="22"/>
        <v>9</v>
      </c>
      <c r="K56" s="31">
        <f t="shared" si="22"/>
        <v>4</v>
      </c>
      <c r="L56" s="31">
        <f t="shared" si="22"/>
        <v>9</v>
      </c>
      <c r="M56" s="31">
        <f t="shared" si="22"/>
        <v>4</v>
      </c>
      <c r="N56" s="31">
        <f t="shared" si="22"/>
        <v>4</v>
      </c>
      <c r="O56" s="31">
        <f t="shared" si="22"/>
        <v>0</v>
      </c>
      <c r="P56" s="31">
        <f t="shared" si="22"/>
        <v>0</v>
      </c>
      <c r="Q56" s="31">
        <f t="shared" si="22"/>
        <v>0</v>
      </c>
      <c r="R56" s="31"/>
      <c r="S56" s="31"/>
      <c r="T56" s="31"/>
      <c r="U56" s="31"/>
      <c r="V56">
        <f t="shared" si="6"/>
        <v>122</v>
      </c>
      <c r="W56">
        <f t="shared" si="7"/>
        <v>1444</v>
      </c>
      <c r="X56">
        <f>L4*(L4-1)</f>
        <v>156</v>
      </c>
      <c r="Y56" s="56">
        <f>L4*V56-W56</f>
        <v>142</v>
      </c>
      <c r="Z56" s="56">
        <f t="shared" si="9"/>
        <v>0.91025641025641024</v>
      </c>
      <c r="AA56" s="56">
        <f t="shared" si="10"/>
        <v>0.9540735874430285</v>
      </c>
      <c r="AB56" s="56">
        <f t="shared" si="11"/>
        <v>23.851839686075714</v>
      </c>
    </row>
    <row r="57" spans="1:28" x14ac:dyDescent="0.2">
      <c r="A57" s="76">
        <v>14</v>
      </c>
      <c r="B57" s="31">
        <f t="shared" ref="B57:Q57" si="23">B25*B25</f>
        <v>16</v>
      </c>
      <c r="C57" s="31">
        <f t="shared" si="23"/>
        <v>25</v>
      </c>
      <c r="D57" s="31">
        <f t="shared" si="23"/>
        <v>25</v>
      </c>
      <c r="E57" s="31">
        <f t="shared" si="23"/>
        <v>16</v>
      </c>
      <c r="F57" s="31">
        <f t="shared" si="23"/>
        <v>9</v>
      </c>
      <c r="G57" s="31">
        <f t="shared" si="23"/>
        <v>16</v>
      </c>
      <c r="H57" s="31">
        <f t="shared" si="23"/>
        <v>25</v>
      </c>
      <c r="I57" s="31">
        <f t="shared" si="23"/>
        <v>16</v>
      </c>
      <c r="J57" s="31">
        <f t="shared" si="23"/>
        <v>4</v>
      </c>
      <c r="K57" s="31">
        <f t="shared" si="23"/>
        <v>9</v>
      </c>
      <c r="L57" s="31">
        <f t="shared" si="23"/>
        <v>9</v>
      </c>
      <c r="M57" s="31">
        <f t="shared" si="23"/>
        <v>4</v>
      </c>
      <c r="N57" s="31">
        <f t="shared" si="23"/>
        <v>4</v>
      </c>
      <c r="O57" s="31">
        <f t="shared" si="23"/>
        <v>0</v>
      </c>
      <c r="P57" s="31">
        <f t="shared" si="23"/>
        <v>0</v>
      </c>
      <c r="Q57" s="31">
        <f t="shared" si="23"/>
        <v>0</v>
      </c>
      <c r="R57" s="31"/>
      <c r="S57" s="31"/>
      <c r="T57" s="31"/>
      <c r="U57" s="31"/>
      <c r="V57">
        <f t="shared" si="6"/>
        <v>178</v>
      </c>
      <c r="W57">
        <f t="shared" si="7"/>
        <v>2116</v>
      </c>
      <c r="X57">
        <f>L6*(L6-1)</f>
        <v>5550</v>
      </c>
      <c r="Y57" s="56">
        <f>L6*V57-W57</f>
        <v>11234</v>
      </c>
      <c r="Z57" s="56">
        <f>Y57/X57</f>
        <v>2.0241441441441443</v>
      </c>
      <c r="AA57" s="56">
        <f>SQRT(Z57)</f>
        <v>1.4227241982001095</v>
      </c>
      <c r="AB57" s="56">
        <f>AA57/4*100</f>
        <v>35.568104955002738</v>
      </c>
    </row>
    <row r="58" spans="1:28" x14ac:dyDescent="0.2">
      <c r="A58" s="76">
        <v>15</v>
      </c>
      <c r="B58" s="31">
        <f t="shared" ref="B58:Q58" si="24">B26*B26</f>
        <v>9</v>
      </c>
      <c r="C58" s="31">
        <f t="shared" si="24"/>
        <v>16</v>
      </c>
      <c r="D58" s="31">
        <f t="shared" si="24"/>
        <v>1</v>
      </c>
      <c r="E58" s="31">
        <f t="shared" si="24"/>
        <v>9</v>
      </c>
      <c r="F58" s="31">
        <f t="shared" si="24"/>
        <v>9</v>
      </c>
      <c r="G58" s="31">
        <f t="shared" si="24"/>
        <v>9</v>
      </c>
      <c r="H58" s="31">
        <f t="shared" si="24"/>
        <v>9</v>
      </c>
      <c r="I58" s="31">
        <f t="shared" si="24"/>
        <v>25</v>
      </c>
      <c r="J58" s="31">
        <f t="shared" si="24"/>
        <v>4</v>
      </c>
      <c r="K58" s="31">
        <f t="shared" si="24"/>
        <v>1</v>
      </c>
      <c r="L58" s="31">
        <f t="shared" si="24"/>
        <v>1</v>
      </c>
      <c r="M58" s="31">
        <f t="shared" si="24"/>
        <v>4</v>
      </c>
      <c r="N58" s="31">
        <f t="shared" si="24"/>
        <v>4</v>
      </c>
      <c r="O58" s="31">
        <f t="shared" si="24"/>
        <v>0</v>
      </c>
      <c r="P58" s="31">
        <f t="shared" si="24"/>
        <v>0</v>
      </c>
      <c r="Q58" s="31">
        <f t="shared" si="24"/>
        <v>0</v>
      </c>
      <c r="R58" s="31"/>
      <c r="S58" s="31"/>
      <c r="T58" s="31"/>
      <c r="U58" s="31"/>
      <c r="V58">
        <f t="shared" si="6"/>
        <v>101</v>
      </c>
      <c r="W58">
        <f t="shared" si="7"/>
        <v>1089</v>
      </c>
      <c r="X58">
        <f>L6*(L6-1)</f>
        <v>5550</v>
      </c>
      <c r="Y58" s="56">
        <f>L6*V58-W58</f>
        <v>6486</v>
      </c>
      <c r="Z58" s="56">
        <f>Y58/X58</f>
        <v>1.1686486486486487</v>
      </c>
      <c r="AA58" s="56">
        <f>SQRT(Z58)</f>
        <v>1.0810405397803768</v>
      </c>
      <c r="AB58" s="56">
        <f>AA58/4*100</f>
        <v>27.026013494509421</v>
      </c>
    </row>
    <row r="59" spans="1:28" x14ac:dyDescent="0.2">
      <c r="A59" s="28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1:28" x14ac:dyDescent="0.2">
      <c r="A60" s="28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</row>
  </sheetData>
  <pageMargins left="0.78740157499999996" right="0.78740157499999996" top="0.984251969" bottom="0.984251969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2"/>
  <dimension ref="A1:AB52"/>
  <sheetViews>
    <sheetView zoomScale="145" zoomScaleNormal="145" workbookViewId="0">
      <selection activeCell="A5" sqref="A5"/>
    </sheetView>
  </sheetViews>
  <sheetFormatPr baseColWidth="10" defaultColWidth="8.85546875" defaultRowHeight="12.75" x14ac:dyDescent="0.2"/>
  <cols>
    <col min="1" max="1" width="6.42578125" customWidth="1"/>
    <col min="2" max="15" width="3.7109375" customWidth="1"/>
    <col min="16" max="16" width="4.5703125" customWidth="1"/>
    <col min="17" max="21" width="3.7109375" customWidth="1"/>
    <col min="22" max="22" width="7.85546875" customWidth="1"/>
    <col min="23" max="23" width="8.7109375" customWidth="1"/>
    <col min="24" max="24" width="8.85546875" customWidth="1"/>
    <col min="25" max="25" width="6.85546875" customWidth="1"/>
    <col min="26" max="26" width="28.140625" customWidth="1"/>
  </cols>
  <sheetData>
    <row r="1" spans="1:27" ht="18" x14ac:dyDescent="0.25">
      <c r="A1" s="1" t="s">
        <v>45</v>
      </c>
    </row>
    <row r="2" spans="1:27" x14ac:dyDescent="0.2">
      <c r="L2" s="26" t="s">
        <v>57</v>
      </c>
      <c r="M2" s="4"/>
      <c r="N2" s="4"/>
      <c r="O2" s="4"/>
      <c r="P2" s="4"/>
      <c r="Q2" s="4"/>
      <c r="R2" s="4"/>
      <c r="S2" s="4"/>
      <c r="T2" s="4"/>
      <c r="U2" s="5"/>
      <c r="W2" s="26" t="s">
        <v>66</v>
      </c>
      <c r="X2" s="4"/>
      <c r="Y2" s="4"/>
      <c r="Z2" s="5"/>
      <c r="AA2" s="8"/>
    </row>
    <row r="3" spans="1:27" ht="13.5" thickBot="1" x14ac:dyDescent="0.25">
      <c r="B3" s="3" t="s">
        <v>30</v>
      </c>
      <c r="C3" s="8"/>
      <c r="D3" s="8"/>
      <c r="G3" s="8"/>
      <c r="H3" s="8"/>
      <c r="I3" s="8"/>
      <c r="J3" s="8"/>
      <c r="K3" s="8"/>
      <c r="L3" s="47" t="s">
        <v>58</v>
      </c>
      <c r="M3" s="8"/>
      <c r="N3" s="8"/>
      <c r="O3" s="8"/>
      <c r="P3" s="22">
        <f>V25*V25</f>
        <v>198916</v>
      </c>
      <c r="Q3" s="43" t="s">
        <v>10</v>
      </c>
      <c r="S3" s="8"/>
      <c r="T3" s="8"/>
      <c r="U3" s="9"/>
      <c r="W3" s="35" t="s">
        <v>103</v>
      </c>
      <c r="X3" s="8" t="s">
        <v>67</v>
      </c>
      <c r="Y3" s="8"/>
      <c r="Z3" s="9"/>
      <c r="AA3" s="8"/>
    </row>
    <row r="4" spans="1:27" x14ac:dyDescent="0.2">
      <c r="A4" s="23">
        <f>(P8/L6)*100</f>
        <v>62.37762237762238</v>
      </c>
      <c r="B4" s="14" t="s">
        <v>46</v>
      </c>
      <c r="C4" s="15"/>
      <c r="D4" s="15"/>
      <c r="E4" s="15"/>
      <c r="F4" s="16"/>
      <c r="G4" s="16"/>
      <c r="H4" s="16"/>
      <c r="I4" s="16"/>
      <c r="J4" s="17"/>
      <c r="K4" s="8"/>
      <c r="L4" s="6">
        <v>11</v>
      </c>
      <c r="M4" s="8"/>
      <c r="N4" s="8"/>
      <c r="O4" s="8"/>
      <c r="P4" s="7">
        <f>L4*(L4-1)</f>
        <v>110</v>
      </c>
      <c r="Q4" s="43" t="s">
        <v>11</v>
      </c>
      <c r="S4" s="8"/>
      <c r="T4" s="8"/>
      <c r="U4" s="9"/>
      <c r="W4" s="35" t="s">
        <v>104</v>
      </c>
      <c r="X4" s="8" t="s">
        <v>43</v>
      </c>
      <c r="Y4" s="8"/>
      <c r="Z4" s="9"/>
      <c r="AA4" s="8"/>
    </row>
    <row r="5" spans="1:27" ht="13.5" thickBot="1" x14ac:dyDescent="0.25">
      <c r="A5" s="24">
        <f>100-(P9*2)</f>
        <v>74.121149552498835</v>
      </c>
      <c r="B5" s="18" t="s">
        <v>47</v>
      </c>
      <c r="C5" s="19"/>
      <c r="D5" s="19"/>
      <c r="E5" s="19"/>
      <c r="F5" s="20"/>
      <c r="G5" s="20"/>
      <c r="H5" s="20"/>
      <c r="I5" s="20"/>
      <c r="J5" s="21"/>
      <c r="K5" s="8"/>
      <c r="L5" s="47" t="s">
        <v>59</v>
      </c>
      <c r="M5" s="8"/>
      <c r="N5" s="8"/>
      <c r="O5" s="8"/>
      <c r="P5" s="22">
        <f>(L4*V26)-P3</f>
        <v>4980</v>
      </c>
      <c r="Q5" s="43" t="s">
        <v>122</v>
      </c>
      <c r="S5" s="8"/>
      <c r="T5" s="8"/>
      <c r="U5" s="9"/>
      <c r="W5" s="35" t="s">
        <v>105</v>
      </c>
      <c r="X5" s="8" t="s">
        <v>68</v>
      </c>
      <c r="Y5" s="8"/>
      <c r="Z5" s="9"/>
      <c r="AA5" s="8"/>
    </row>
    <row r="6" spans="1:27" x14ac:dyDescent="0.2">
      <c r="K6" s="8"/>
      <c r="L6" s="6">
        <f>A24*5</f>
        <v>65</v>
      </c>
      <c r="M6" s="8"/>
      <c r="N6" s="10"/>
      <c r="O6" s="8"/>
      <c r="P6" s="7">
        <f>P5/P4</f>
        <v>45.272727272727273</v>
      </c>
      <c r="Q6" s="43" t="s">
        <v>12</v>
      </c>
      <c r="S6" s="8"/>
      <c r="T6" s="8"/>
      <c r="U6" s="9"/>
      <c r="W6" s="35" t="s">
        <v>106</v>
      </c>
      <c r="X6" s="8" t="s">
        <v>43</v>
      </c>
      <c r="Y6" s="8"/>
      <c r="Z6" s="9"/>
      <c r="AA6" s="8"/>
    </row>
    <row r="7" spans="1:27" x14ac:dyDescent="0.2">
      <c r="C7" s="8"/>
      <c r="D7" s="8"/>
      <c r="G7" s="8"/>
      <c r="H7" s="8"/>
      <c r="I7" s="8"/>
      <c r="J7" s="8"/>
      <c r="K7" s="8"/>
      <c r="L7" s="47" t="s">
        <v>60</v>
      </c>
      <c r="M7" s="8"/>
      <c r="N7" s="10"/>
      <c r="O7" s="8"/>
      <c r="P7" s="7">
        <f>SQRT(P6)</f>
        <v>6.7285011163503032</v>
      </c>
      <c r="Q7" s="43" t="s">
        <v>13</v>
      </c>
      <c r="S7" s="8"/>
      <c r="T7" s="8"/>
      <c r="U7" s="9"/>
      <c r="W7" s="46" t="s">
        <v>107</v>
      </c>
      <c r="X7" s="12" t="s">
        <v>69</v>
      </c>
      <c r="Y7" s="12"/>
      <c r="Z7" s="13"/>
      <c r="AA7" s="8"/>
    </row>
    <row r="8" spans="1:27" x14ac:dyDescent="0.2">
      <c r="C8" s="8"/>
      <c r="D8" s="8"/>
      <c r="G8" s="8"/>
      <c r="H8" s="8"/>
      <c r="I8" s="8"/>
      <c r="J8" s="8"/>
      <c r="L8" s="6">
        <v>13</v>
      </c>
      <c r="M8" s="8"/>
      <c r="N8" s="8"/>
      <c r="O8" s="8"/>
      <c r="P8" s="8">
        <f>V25/L4</f>
        <v>40.545454545454547</v>
      </c>
      <c r="Q8" s="43" t="s">
        <v>48</v>
      </c>
      <c r="R8" s="8"/>
      <c r="S8" s="8"/>
      <c r="T8" s="8"/>
      <c r="U8" s="9"/>
    </row>
    <row r="9" spans="1:27" x14ac:dyDescent="0.2">
      <c r="L9" s="11"/>
      <c r="M9" s="12"/>
      <c r="N9" s="12"/>
      <c r="O9" s="12"/>
      <c r="P9" s="12">
        <f>P7/((L8*5)-(L8*1))*100</f>
        <v>12.939425223750584</v>
      </c>
      <c r="Q9" s="44" t="s">
        <v>49</v>
      </c>
      <c r="R9" s="12"/>
      <c r="S9" s="12"/>
      <c r="T9" s="12"/>
      <c r="U9" s="13"/>
    </row>
    <row r="10" spans="1:27" x14ac:dyDescent="0.2">
      <c r="A10" s="3"/>
      <c r="B10" s="3" t="s">
        <v>63</v>
      </c>
      <c r="C10" s="3"/>
      <c r="D10" s="3"/>
      <c r="E10" s="3"/>
      <c r="F10" s="3">
        <v>5</v>
      </c>
      <c r="G10" s="3"/>
      <c r="H10" s="3"/>
      <c r="I10" s="3"/>
      <c r="J10" s="3"/>
      <c r="K10" s="3">
        <v>10</v>
      </c>
      <c r="L10" s="3"/>
      <c r="M10" s="3"/>
      <c r="N10" s="3"/>
      <c r="O10" s="3"/>
      <c r="P10" s="3">
        <v>15</v>
      </c>
      <c r="Q10" s="3"/>
      <c r="R10" s="3"/>
      <c r="S10" s="3"/>
      <c r="T10" s="3"/>
      <c r="U10" s="3">
        <v>20</v>
      </c>
      <c r="W10" s="26" t="s">
        <v>70</v>
      </c>
      <c r="X10" s="38"/>
      <c r="Y10" s="4"/>
      <c r="Z10" s="5"/>
    </row>
    <row r="11" spans="1:27" x14ac:dyDescent="0.2">
      <c r="A11" s="28" t="s">
        <v>64</v>
      </c>
      <c r="B11" s="71" t="s">
        <v>110</v>
      </c>
      <c r="C11" s="71" t="s">
        <v>111</v>
      </c>
      <c r="D11" s="71" t="s">
        <v>112</v>
      </c>
      <c r="E11" s="71" t="s">
        <v>113</v>
      </c>
      <c r="F11" s="71" t="s">
        <v>114</v>
      </c>
      <c r="G11" s="71" t="s">
        <v>115</v>
      </c>
      <c r="H11" s="71" t="s">
        <v>116</v>
      </c>
      <c r="I11" s="73" t="s">
        <v>117</v>
      </c>
      <c r="J11" s="73" t="s">
        <v>118</v>
      </c>
      <c r="K11" s="73" t="s">
        <v>119</v>
      </c>
      <c r="L11" s="73" t="s">
        <v>120</v>
      </c>
      <c r="M11" s="74" t="s">
        <v>121</v>
      </c>
      <c r="N11" s="74" t="s">
        <v>122</v>
      </c>
      <c r="O11" s="74" t="s">
        <v>123</v>
      </c>
      <c r="P11" s="28" t="s">
        <v>124</v>
      </c>
      <c r="Q11" s="28" t="s">
        <v>12</v>
      </c>
      <c r="R11" s="28" t="s">
        <v>14</v>
      </c>
      <c r="S11" s="28" t="s">
        <v>15</v>
      </c>
      <c r="T11" s="28" t="s">
        <v>16</v>
      </c>
      <c r="U11" s="28" t="s">
        <v>17</v>
      </c>
      <c r="V11" s="31" t="s">
        <v>125</v>
      </c>
      <c r="W11" s="27" t="s">
        <v>31</v>
      </c>
      <c r="X11" s="10" t="s">
        <v>32</v>
      </c>
      <c r="Y11" s="37" t="s">
        <v>64</v>
      </c>
      <c r="Z11" s="9"/>
    </row>
    <row r="12" spans="1:27" x14ac:dyDescent="0.2">
      <c r="A12" s="28">
        <v>1</v>
      </c>
      <c r="B12" s="31">
        <v>4</v>
      </c>
      <c r="C12" s="31">
        <v>5</v>
      </c>
      <c r="D12" s="31">
        <v>4</v>
      </c>
      <c r="E12" s="31">
        <v>5</v>
      </c>
      <c r="F12" s="31">
        <v>2</v>
      </c>
      <c r="G12" s="31">
        <v>5</v>
      </c>
      <c r="H12" s="31">
        <v>5</v>
      </c>
      <c r="I12" s="31">
        <v>5</v>
      </c>
      <c r="J12" s="31">
        <v>3</v>
      </c>
      <c r="K12" s="31">
        <v>3</v>
      </c>
      <c r="L12" s="31">
        <v>3</v>
      </c>
      <c r="M12" s="31"/>
      <c r="N12" s="31"/>
      <c r="O12" s="31"/>
      <c r="P12" s="31"/>
      <c r="Q12" s="31"/>
      <c r="R12" s="31"/>
      <c r="S12" s="31"/>
      <c r="T12" s="31"/>
      <c r="U12" s="31"/>
      <c r="V12" s="31">
        <f t="shared" ref="V12:V26" si="0">SUM(B12:U12)</f>
        <v>44</v>
      </c>
      <c r="W12" s="39">
        <f>V12/L4*20</f>
        <v>80</v>
      </c>
      <c r="X12" s="40">
        <f t="shared" ref="X12:X24" si="1">100-(AB38*2)</f>
        <v>45.227744249483393</v>
      </c>
      <c r="Y12" s="8" t="s">
        <v>143</v>
      </c>
      <c r="Z12" s="9"/>
    </row>
    <row r="13" spans="1:27" x14ac:dyDescent="0.2">
      <c r="A13" s="28">
        <v>2</v>
      </c>
      <c r="B13" s="31">
        <v>4</v>
      </c>
      <c r="C13" s="31">
        <v>5</v>
      </c>
      <c r="D13" s="31">
        <v>4</v>
      </c>
      <c r="E13" s="31">
        <v>5</v>
      </c>
      <c r="F13" s="31">
        <v>4</v>
      </c>
      <c r="G13" s="31">
        <v>5</v>
      </c>
      <c r="H13" s="31">
        <v>5</v>
      </c>
      <c r="I13" s="31">
        <v>4</v>
      </c>
      <c r="J13" s="31">
        <v>3</v>
      </c>
      <c r="K13" s="31">
        <v>2</v>
      </c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>
        <f t="shared" si="0"/>
        <v>45</v>
      </c>
      <c r="W13" s="39">
        <f>V13/L4*20</f>
        <v>81.818181818181813</v>
      </c>
      <c r="X13" s="40">
        <f t="shared" si="1"/>
        <v>52.806009627573054</v>
      </c>
      <c r="Y13" s="8" t="s">
        <v>144</v>
      </c>
      <c r="Z13" s="9"/>
    </row>
    <row r="14" spans="1:27" x14ac:dyDescent="0.2">
      <c r="A14" s="28">
        <v>3</v>
      </c>
      <c r="B14" s="31">
        <v>2</v>
      </c>
      <c r="C14" s="31">
        <v>2</v>
      </c>
      <c r="D14" s="31">
        <v>4</v>
      </c>
      <c r="E14" s="31">
        <v>4</v>
      </c>
      <c r="F14" s="31">
        <v>4</v>
      </c>
      <c r="G14" s="31">
        <v>1</v>
      </c>
      <c r="H14" s="31">
        <v>3</v>
      </c>
      <c r="I14" s="31">
        <v>2</v>
      </c>
      <c r="J14" s="31">
        <v>4</v>
      </c>
      <c r="K14" s="31">
        <v>1</v>
      </c>
      <c r="L14" s="31">
        <v>2</v>
      </c>
      <c r="M14" s="31"/>
      <c r="N14" s="31"/>
      <c r="O14" s="31"/>
      <c r="P14" s="31"/>
      <c r="Q14" s="31"/>
      <c r="R14" s="31"/>
      <c r="S14" s="31"/>
      <c r="T14" s="31"/>
      <c r="U14" s="31"/>
      <c r="V14" s="31">
        <f t="shared" si="0"/>
        <v>29</v>
      </c>
      <c r="W14" s="39">
        <f>V14/L4*20</f>
        <v>52.727272727272727</v>
      </c>
      <c r="X14" s="40">
        <f t="shared" si="1"/>
        <v>39.697731084447277</v>
      </c>
      <c r="Y14" s="8" t="s">
        <v>145</v>
      </c>
      <c r="Z14" s="9"/>
    </row>
    <row r="15" spans="1:27" x14ac:dyDescent="0.2">
      <c r="A15" s="28">
        <v>4</v>
      </c>
      <c r="B15" s="31">
        <v>4</v>
      </c>
      <c r="C15" s="31">
        <v>4</v>
      </c>
      <c r="D15" s="31">
        <v>5</v>
      </c>
      <c r="E15" s="31">
        <v>4</v>
      </c>
      <c r="F15" s="31">
        <v>4</v>
      </c>
      <c r="G15" s="31">
        <v>5</v>
      </c>
      <c r="H15" s="31">
        <v>3</v>
      </c>
      <c r="I15" s="31">
        <v>2</v>
      </c>
      <c r="J15" s="31">
        <v>3</v>
      </c>
      <c r="K15" s="31">
        <v>2</v>
      </c>
      <c r="L15" s="31">
        <v>2</v>
      </c>
      <c r="M15" s="31"/>
      <c r="N15" s="31"/>
      <c r="O15" s="31"/>
      <c r="P15" s="31"/>
      <c r="Q15" s="31"/>
      <c r="R15" s="31"/>
      <c r="S15" s="31"/>
      <c r="T15" s="31"/>
      <c r="U15" s="31"/>
      <c r="V15" s="31">
        <f t="shared" si="0"/>
        <v>38</v>
      </c>
      <c r="W15" s="39">
        <f>V15/L4*20</f>
        <v>69.090909090909093</v>
      </c>
      <c r="X15" s="40">
        <f t="shared" si="1"/>
        <v>43.592392518223377</v>
      </c>
      <c r="Y15" s="8" t="s">
        <v>146</v>
      </c>
      <c r="Z15" s="9"/>
    </row>
    <row r="16" spans="1:27" x14ac:dyDescent="0.2">
      <c r="A16" s="28">
        <v>5</v>
      </c>
      <c r="B16" s="31">
        <v>2</v>
      </c>
      <c r="C16" s="31">
        <v>4</v>
      </c>
      <c r="D16" s="31">
        <v>4</v>
      </c>
      <c r="E16" s="31">
        <v>4</v>
      </c>
      <c r="F16" s="31">
        <v>4</v>
      </c>
      <c r="G16" s="31">
        <v>4</v>
      </c>
      <c r="H16" s="31">
        <v>5</v>
      </c>
      <c r="I16" s="31">
        <v>5</v>
      </c>
      <c r="J16" s="31">
        <v>3</v>
      </c>
      <c r="K16" s="31">
        <v>4</v>
      </c>
      <c r="L16" s="31">
        <v>2</v>
      </c>
      <c r="M16" s="31"/>
      <c r="N16" s="31"/>
      <c r="O16" s="31"/>
      <c r="P16" s="31"/>
      <c r="Q16" s="31"/>
      <c r="R16" s="31"/>
      <c r="S16" s="31"/>
      <c r="T16" s="31"/>
      <c r="U16" s="31"/>
      <c r="V16" s="31">
        <f t="shared" si="0"/>
        <v>41</v>
      </c>
      <c r="W16" s="39">
        <f>V16/L4*20</f>
        <v>74.545454545454547</v>
      </c>
      <c r="X16" s="40">
        <f t="shared" si="1"/>
        <v>49.547502089048699</v>
      </c>
      <c r="Y16" s="8" t="s">
        <v>147</v>
      </c>
      <c r="Z16" s="9"/>
    </row>
    <row r="17" spans="1:26" x14ac:dyDescent="0.2">
      <c r="A17" s="28">
        <v>6</v>
      </c>
      <c r="B17" s="31">
        <v>4</v>
      </c>
      <c r="C17" s="31">
        <v>4</v>
      </c>
      <c r="D17" s="31">
        <v>4</v>
      </c>
      <c r="E17" s="31">
        <v>4</v>
      </c>
      <c r="F17" s="31">
        <v>4</v>
      </c>
      <c r="G17" s="31">
        <v>4</v>
      </c>
      <c r="H17" s="31">
        <v>3</v>
      </c>
      <c r="I17" s="31">
        <v>3</v>
      </c>
      <c r="J17" s="31">
        <v>3</v>
      </c>
      <c r="K17" s="31">
        <v>3</v>
      </c>
      <c r="L17" s="31">
        <v>2</v>
      </c>
      <c r="M17" s="31"/>
      <c r="N17" s="31"/>
      <c r="O17" s="31"/>
      <c r="P17" s="31"/>
      <c r="Q17" s="31"/>
      <c r="R17" s="31"/>
      <c r="S17" s="31"/>
      <c r="T17" s="31"/>
      <c r="U17" s="31"/>
      <c r="V17" s="31">
        <f t="shared" si="0"/>
        <v>38</v>
      </c>
      <c r="W17" s="39">
        <f>V17/L4*20</f>
        <v>69.090909090909093</v>
      </c>
      <c r="X17" s="40">
        <f t="shared" si="1"/>
        <v>65.622417452383559</v>
      </c>
      <c r="Y17" s="8" t="s">
        <v>148</v>
      </c>
      <c r="Z17" s="9"/>
    </row>
    <row r="18" spans="1:26" x14ac:dyDescent="0.2">
      <c r="A18" s="28">
        <v>7</v>
      </c>
      <c r="B18" s="31">
        <v>2</v>
      </c>
      <c r="C18" s="31">
        <v>2</v>
      </c>
      <c r="D18" s="31">
        <v>2</v>
      </c>
      <c r="E18" s="31">
        <v>2</v>
      </c>
      <c r="F18" s="31">
        <v>2</v>
      </c>
      <c r="G18" s="31">
        <v>1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/>
      <c r="N18" s="31"/>
      <c r="O18" s="31"/>
      <c r="P18" s="31"/>
      <c r="Q18" s="31"/>
      <c r="R18" s="31"/>
      <c r="S18" s="31"/>
      <c r="T18" s="31"/>
      <c r="U18" s="31"/>
      <c r="V18" s="31">
        <f t="shared" si="0"/>
        <v>21</v>
      </c>
      <c r="W18" s="39">
        <f>V18/L4*20</f>
        <v>38.181818181818187</v>
      </c>
      <c r="X18" s="40">
        <f t="shared" si="1"/>
        <v>84.924432771111825</v>
      </c>
      <c r="Y18" s="8" t="s">
        <v>149</v>
      </c>
      <c r="Z18" s="9"/>
    </row>
    <row r="19" spans="1:26" x14ac:dyDescent="0.2">
      <c r="A19" s="28">
        <v>8</v>
      </c>
      <c r="B19" s="31">
        <v>2</v>
      </c>
      <c r="C19" s="31">
        <v>2</v>
      </c>
      <c r="D19" s="31">
        <v>2</v>
      </c>
      <c r="E19" s="31">
        <v>3</v>
      </c>
      <c r="F19" s="31">
        <v>2</v>
      </c>
      <c r="G19" s="31">
        <v>2</v>
      </c>
      <c r="H19" s="31">
        <v>2</v>
      </c>
      <c r="I19" s="31">
        <v>2</v>
      </c>
      <c r="J19" s="31">
        <v>2</v>
      </c>
      <c r="K19" s="31">
        <v>2</v>
      </c>
      <c r="L19" s="31">
        <v>2</v>
      </c>
      <c r="M19" s="31"/>
      <c r="N19" s="31"/>
      <c r="O19" s="31"/>
      <c r="P19" s="31"/>
      <c r="Q19" s="31"/>
      <c r="R19" s="31"/>
      <c r="S19" s="31"/>
      <c r="T19" s="31"/>
      <c r="U19" s="31"/>
      <c r="V19" s="31">
        <f t="shared" si="0"/>
        <v>23</v>
      </c>
      <c r="W19" s="39">
        <f>V19/L4*20</f>
        <v>41.818181818181813</v>
      </c>
      <c r="X19" s="40">
        <f t="shared" si="1"/>
        <v>84.924432771111825</v>
      </c>
      <c r="Y19" s="8" t="s">
        <v>150</v>
      </c>
      <c r="Z19" s="9"/>
    </row>
    <row r="20" spans="1:26" x14ac:dyDescent="0.2">
      <c r="A20" s="28">
        <v>9</v>
      </c>
      <c r="B20" s="31">
        <v>2</v>
      </c>
      <c r="C20" s="31">
        <v>2</v>
      </c>
      <c r="D20" s="31">
        <v>4</v>
      </c>
      <c r="E20" s="31">
        <v>4</v>
      </c>
      <c r="F20" s="31">
        <v>4</v>
      </c>
      <c r="G20" s="31">
        <v>4</v>
      </c>
      <c r="H20" s="31">
        <v>2</v>
      </c>
      <c r="I20" s="31">
        <v>2</v>
      </c>
      <c r="J20" s="31">
        <v>2</v>
      </c>
      <c r="K20" s="31">
        <v>2</v>
      </c>
      <c r="L20" s="31">
        <v>2</v>
      </c>
      <c r="M20" s="31"/>
      <c r="N20" s="31"/>
      <c r="O20" s="31"/>
      <c r="P20" s="31"/>
      <c r="Q20" s="31"/>
      <c r="R20" s="31"/>
      <c r="S20" s="31"/>
      <c r="T20" s="31"/>
      <c r="U20" s="31"/>
      <c r="V20" s="31">
        <f t="shared" si="0"/>
        <v>30</v>
      </c>
      <c r="W20" s="39">
        <f>V20/L4*20</f>
        <v>54.54545454545454</v>
      </c>
      <c r="X20" s="40">
        <f t="shared" si="1"/>
        <v>49.547502089048699</v>
      </c>
      <c r="Y20" s="8" t="s">
        <v>151</v>
      </c>
      <c r="Z20" s="9"/>
    </row>
    <row r="21" spans="1:26" x14ac:dyDescent="0.2">
      <c r="A21" s="28">
        <v>10</v>
      </c>
      <c r="B21" s="31">
        <v>2</v>
      </c>
      <c r="C21" s="31">
        <v>4</v>
      </c>
      <c r="D21" s="31">
        <v>4</v>
      </c>
      <c r="E21" s="31">
        <v>4</v>
      </c>
      <c r="F21" s="31">
        <v>4</v>
      </c>
      <c r="G21" s="31">
        <v>4</v>
      </c>
      <c r="H21" s="31">
        <v>2</v>
      </c>
      <c r="I21" s="31">
        <v>2</v>
      </c>
      <c r="J21" s="31">
        <v>3</v>
      </c>
      <c r="K21" s="31">
        <v>2</v>
      </c>
      <c r="L21" s="31">
        <v>2</v>
      </c>
      <c r="M21" s="31"/>
      <c r="N21" s="31"/>
      <c r="O21" s="31"/>
      <c r="P21" s="31"/>
      <c r="Q21" s="31"/>
      <c r="R21" s="31"/>
      <c r="S21" s="31"/>
      <c r="T21" s="31"/>
      <c r="U21" s="31"/>
      <c r="V21" s="31">
        <f t="shared" si="0"/>
        <v>33</v>
      </c>
      <c r="W21" s="39">
        <f>V21/L4*20</f>
        <v>60</v>
      </c>
      <c r="X21" s="40">
        <f t="shared" si="1"/>
        <v>50</v>
      </c>
      <c r="Y21" s="8" t="s">
        <v>152</v>
      </c>
      <c r="Z21" s="9"/>
    </row>
    <row r="22" spans="1:26" x14ac:dyDescent="0.2">
      <c r="A22" s="28">
        <v>11</v>
      </c>
      <c r="B22" s="31">
        <v>2</v>
      </c>
      <c r="C22" s="31">
        <v>4</v>
      </c>
      <c r="D22" s="31">
        <v>4</v>
      </c>
      <c r="E22" s="31">
        <v>4</v>
      </c>
      <c r="F22" s="31">
        <v>4</v>
      </c>
      <c r="G22" s="31">
        <v>4</v>
      </c>
      <c r="H22" s="31">
        <v>4</v>
      </c>
      <c r="I22" s="31">
        <v>4</v>
      </c>
      <c r="J22" s="31">
        <v>3</v>
      </c>
      <c r="K22" s="31">
        <v>2</v>
      </c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>
        <f t="shared" si="0"/>
        <v>39</v>
      </c>
      <c r="W22" s="39">
        <f>V22/L4*20</f>
        <v>70.909090909090907</v>
      </c>
      <c r="X22" s="40">
        <f t="shared" si="1"/>
        <v>58.990023386763781</v>
      </c>
      <c r="Y22" s="8" t="s">
        <v>153</v>
      </c>
      <c r="Z22" s="9"/>
    </row>
    <row r="23" spans="1:26" x14ac:dyDescent="0.2">
      <c r="A23" s="28">
        <v>12</v>
      </c>
      <c r="B23" s="31">
        <v>5</v>
      </c>
      <c r="C23" s="31">
        <v>2</v>
      </c>
      <c r="D23" s="31">
        <v>4</v>
      </c>
      <c r="E23" s="31">
        <v>3</v>
      </c>
      <c r="F23" s="31">
        <v>4</v>
      </c>
      <c r="G23" s="31">
        <v>5</v>
      </c>
      <c r="H23" s="31">
        <v>2</v>
      </c>
      <c r="I23" s="31">
        <v>2</v>
      </c>
      <c r="J23" s="31">
        <v>2</v>
      </c>
      <c r="K23" s="31">
        <v>2</v>
      </c>
      <c r="L23" s="31">
        <v>2</v>
      </c>
      <c r="M23" s="31"/>
      <c r="N23" s="31"/>
      <c r="O23" s="31"/>
      <c r="P23" s="31"/>
      <c r="Q23" s="31"/>
      <c r="R23" s="31"/>
      <c r="S23" s="31"/>
      <c r="T23" s="31"/>
      <c r="U23" s="31"/>
      <c r="V23" s="31">
        <f t="shared" si="0"/>
        <v>33</v>
      </c>
      <c r="W23" s="39">
        <f>V23/L4*20</f>
        <v>60</v>
      </c>
      <c r="X23" s="40">
        <f t="shared" si="1"/>
        <v>36.754446796632415</v>
      </c>
      <c r="Y23" s="8" t="s">
        <v>154</v>
      </c>
      <c r="Z23" s="9"/>
    </row>
    <row r="24" spans="1:26" x14ac:dyDescent="0.2">
      <c r="A24" s="28">
        <v>13</v>
      </c>
      <c r="B24" s="31">
        <v>5</v>
      </c>
      <c r="C24" s="31">
        <v>2</v>
      </c>
      <c r="D24" s="31">
        <v>3</v>
      </c>
      <c r="E24" s="31">
        <v>3</v>
      </c>
      <c r="F24" s="31">
        <v>2</v>
      </c>
      <c r="G24" s="31">
        <v>5</v>
      </c>
      <c r="H24" s="31">
        <v>2</v>
      </c>
      <c r="I24" s="31">
        <v>2</v>
      </c>
      <c r="J24" s="31">
        <v>3</v>
      </c>
      <c r="K24" s="31">
        <v>2</v>
      </c>
      <c r="L24" s="31">
        <v>3</v>
      </c>
      <c r="M24" s="31"/>
      <c r="N24" s="31"/>
      <c r="O24" s="31"/>
      <c r="P24" s="31"/>
      <c r="Q24" s="31"/>
      <c r="R24" s="31"/>
      <c r="S24" s="31"/>
      <c r="T24" s="31"/>
      <c r="U24" s="31"/>
      <c r="V24" s="31">
        <f>SUM(B24:U24)</f>
        <v>32</v>
      </c>
      <c r="W24" s="41">
        <f>V24/L4*20</f>
        <v>58.181818181818187</v>
      </c>
      <c r="X24" s="42">
        <f t="shared" si="1"/>
        <v>100</v>
      </c>
      <c r="Y24" s="12" t="s">
        <v>155</v>
      </c>
      <c r="Z24" s="13"/>
    </row>
    <row r="25" spans="1:26" x14ac:dyDescent="0.2">
      <c r="A25" s="28" t="s">
        <v>126</v>
      </c>
      <c r="B25" s="31">
        <f>SUM(B12:B24)</f>
        <v>40</v>
      </c>
      <c r="C25" s="31">
        <f t="shared" ref="C25:U25" si="2">SUM(C12:C24)</f>
        <v>42</v>
      </c>
      <c r="D25" s="31">
        <f>SUM(D12:D24)</f>
        <v>48</v>
      </c>
      <c r="E25" s="31">
        <f t="shared" si="2"/>
        <v>49</v>
      </c>
      <c r="F25" s="31">
        <f t="shared" si="2"/>
        <v>44</v>
      </c>
      <c r="G25" s="31">
        <f t="shared" si="2"/>
        <v>49</v>
      </c>
      <c r="H25" s="31">
        <f t="shared" si="2"/>
        <v>40</v>
      </c>
      <c r="I25" s="31">
        <f t="shared" si="2"/>
        <v>37</v>
      </c>
      <c r="J25" s="31">
        <f t="shared" si="2"/>
        <v>36</v>
      </c>
      <c r="K25" s="31">
        <f t="shared" si="2"/>
        <v>29</v>
      </c>
      <c r="L25" s="31">
        <f t="shared" si="2"/>
        <v>32</v>
      </c>
      <c r="M25" s="31">
        <f t="shared" si="2"/>
        <v>0</v>
      </c>
      <c r="N25" s="31">
        <f t="shared" si="2"/>
        <v>0</v>
      </c>
      <c r="O25" s="31">
        <f t="shared" si="2"/>
        <v>0</v>
      </c>
      <c r="P25" s="31">
        <f t="shared" si="2"/>
        <v>0</v>
      </c>
      <c r="Q25" s="31">
        <f t="shared" si="2"/>
        <v>0</v>
      </c>
      <c r="R25" s="31">
        <f t="shared" si="2"/>
        <v>0</v>
      </c>
      <c r="S25" s="31">
        <f t="shared" si="2"/>
        <v>0</v>
      </c>
      <c r="T25" s="31">
        <f t="shared" si="2"/>
        <v>0</v>
      </c>
      <c r="U25" s="31">
        <f t="shared" si="2"/>
        <v>0</v>
      </c>
      <c r="V25" s="31">
        <f>SUM(B25:U25)</f>
        <v>446</v>
      </c>
      <c r="W25" s="40"/>
      <c r="X25" s="40"/>
      <c r="Y25" s="8"/>
      <c r="Z25" s="8"/>
    </row>
    <row r="26" spans="1:26" x14ac:dyDescent="0.2">
      <c r="A26" s="28" t="s">
        <v>127</v>
      </c>
      <c r="B26" s="32">
        <f t="shared" ref="B26:U26" si="3">B25*B25</f>
        <v>1600</v>
      </c>
      <c r="C26" s="32">
        <f t="shared" si="3"/>
        <v>1764</v>
      </c>
      <c r="D26" s="32">
        <f t="shared" si="3"/>
        <v>2304</v>
      </c>
      <c r="E26" s="32">
        <f t="shared" si="3"/>
        <v>2401</v>
      </c>
      <c r="F26" s="32">
        <f t="shared" si="3"/>
        <v>1936</v>
      </c>
      <c r="G26" s="32">
        <f t="shared" si="3"/>
        <v>2401</v>
      </c>
      <c r="H26" s="32">
        <f t="shared" si="3"/>
        <v>1600</v>
      </c>
      <c r="I26" s="32">
        <f t="shared" si="3"/>
        <v>1369</v>
      </c>
      <c r="J26" s="32">
        <f t="shared" si="3"/>
        <v>1296</v>
      </c>
      <c r="K26" s="32">
        <f t="shared" si="3"/>
        <v>841</v>
      </c>
      <c r="L26" s="32">
        <f t="shared" si="3"/>
        <v>1024</v>
      </c>
      <c r="M26" s="32">
        <f t="shared" si="3"/>
        <v>0</v>
      </c>
      <c r="N26" s="32">
        <f t="shared" si="3"/>
        <v>0</v>
      </c>
      <c r="O26" s="32">
        <f t="shared" si="3"/>
        <v>0</v>
      </c>
      <c r="P26" s="32">
        <f t="shared" si="3"/>
        <v>0</v>
      </c>
      <c r="Q26" s="32">
        <f t="shared" si="3"/>
        <v>0</v>
      </c>
      <c r="R26" s="32">
        <f t="shared" si="3"/>
        <v>0</v>
      </c>
      <c r="S26" s="32">
        <f t="shared" si="3"/>
        <v>0</v>
      </c>
      <c r="T26" s="32">
        <f t="shared" si="3"/>
        <v>0</v>
      </c>
      <c r="U26" s="32">
        <f t="shared" si="3"/>
        <v>0</v>
      </c>
      <c r="V26" s="32">
        <f t="shared" si="0"/>
        <v>18536</v>
      </c>
      <c r="W26" s="29"/>
      <c r="X26" s="8"/>
    </row>
    <row r="27" spans="1:26" x14ac:dyDescent="0.2">
      <c r="W27" s="68" t="s">
        <v>9</v>
      </c>
      <c r="X27" s="2"/>
    </row>
    <row r="35" spans="1:28" x14ac:dyDescent="0.2">
      <c r="A35" s="2" t="s">
        <v>0</v>
      </c>
    </row>
    <row r="36" spans="1:28" x14ac:dyDescent="0.2">
      <c r="A36" s="28" t="s">
        <v>1</v>
      </c>
      <c r="B36" s="31" t="s">
        <v>110</v>
      </c>
      <c r="C36" s="31" t="s">
        <v>111</v>
      </c>
      <c r="D36" s="31" t="s">
        <v>112</v>
      </c>
      <c r="E36" s="31" t="s">
        <v>113</v>
      </c>
      <c r="F36" s="31" t="s">
        <v>114</v>
      </c>
      <c r="G36" s="31" t="s">
        <v>115</v>
      </c>
      <c r="H36" s="31" t="s">
        <v>116</v>
      </c>
      <c r="I36" s="31" t="s">
        <v>117</v>
      </c>
      <c r="J36" s="31" t="s">
        <v>118</v>
      </c>
      <c r="K36" s="31" t="s">
        <v>119</v>
      </c>
      <c r="L36" s="31" t="s">
        <v>120</v>
      </c>
      <c r="M36" s="31" t="s">
        <v>121</v>
      </c>
      <c r="N36" s="31" t="s">
        <v>122</v>
      </c>
      <c r="O36" s="31" t="s">
        <v>123</v>
      </c>
      <c r="P36" s="31" t="s">
        <v>124</v>
      </c>
      <c r="Q36" s="31" t="s">
        <v>12</v>
      </c>
      <c r="R36" s="31" t="s">
        <v>14</v>
      </c>
      <c r="S36" s="31" t="s">
        <v>15</v>
      </c>
      <c r="T36" s="31" t="s">
        <v>16</v>
      </c>
      <c r="U36" s="31" t="s">
        <v>17</v>
      </c>
      <c r="V36" t="s">
        <v>22</v>
      </c>
    </row>
    <row r="37" spans="1:28" x14ac:dyDescent="0.2">
      <c r="A37" s="28">
        <v>1</v>
      </c>
      <c r="B37" s="31">
        <f>B12*B12</f>
        <v>16</v>
      </c>
      <c r="C37" s="31">
        <f t="shared" ref="C37:U37" si="4">C12*C12</f>
        <v>25</v>
      </c>
      <c r="D37" s="31">
        <f t="shared" si="4"/>
        <v>16</v>
      </c>
      <c r="E37" s="31">
        <f t="shared" si="4"/>
        <v>25</v>
      </c>
      <c r="F37" s="31">
        <f t="shared" si="4"/>
        <v>4</v>
      </c>
      <c r="G37" s="31">
        <f t="shared" si="4"/>
        <v>25</v>
      </c>
      <c r="H37" s="31">
        <f t="shared" si="4"/>
        <v>25</v>
      </c>
      <c r="I37" s="31">
        <f t="shared" si="4"/>
        <v>25</v>
      </c>
      <c r="J37" s="31">
        <f t="shared" si="4"/>
        <v>9</v>
      </c>
      <c r="K37" s="31">
        <f t="shared" si="4"/>
        <v>9</v>
      </c>
      <c r="L37" s="31">
        <f t="shared" si="4"/>
        <v>9</v>
      </c>
      <c r="M37" s="31">
        <f t="shared" si="4"/>
        <v>0</v>
      </c>
      <c r="N37" s="31">
        <f t="shared" si="4"/>
        <v>0</v>
      </c>
      <c r="O37" s="31">
        <f t="shared" si="4"/>
        <v>0</v>
      </c>
      <c r="P37" s="31">
        <f t="shared" si="4"/>
        <v>0</v>
      </c>
      <c r="Q37" s="31">
        <f t="shared" si="4"/>
        <v>0</v>
      </c>
      <c r="R37" s="31">
        <f t="shared" si="4"/>
        <v>0</v>
      </c>
      <c r="S37" s="31">
        <f t="shared" si="4"/>
        <v>0</v>
      </c>
      <c r="T37" s="31">
        <f t="shared" si="4"/>
        <v>0</v>
      </c>
      <c r="U37" s="31">
        <f t="shared" si="4"/>
        <v>0</v>
      </c>
      <c r="V37">
        <f t="shared" ref="V37:V49" si="5">SUM(B37:U37)</f>
        <v>188</v>
      </c>
      <c r="W37" t="s">
        <v>10</v>
      </c>
      <c r="X37" t="s">
        <v>11</v>
      </c>
      <c r="Y37" t="s">
        <v>122</v>
      </c>
      <c r="Z37" t="s">
        <v>12</v>
      </c>
      <c r="AA37" t="s">
        <v>19</v>
      </c>
      <c r="AB37" t="s">
        <v>3</v>
      </c>
    </row>
    <row r="38" spans="1:28" x14ac:dyDescent="0.2">
      <c r="A38" s="28">
        <v>2</v>
      </c>
      <c r="B38" s="31">
        <f t="shared" ref="B38:U38" si="6">B13*B13</f>
        <v>16</v>
      </c>
      <c r="C38" s="31">
        <f t="shared" si="6"/>
        <v>25</v>
      </c>
      <c r="D38" s="31">
        <f t="shared" si="6"/>
        <v>16</v>
      </c>
      <c r="E38" s="31">
        <f t="shared" si="6"/>
        <v>25</v>
      </c>
      <c r="F38" s="31">
        <f t="shared" si="6"/>
        <v>16</v>
      </c>
      <c r="G38" s="31">
        <f t="shared" si="6"/>
        <v>25</v>
      </c>
      <c r="H38" s="31">
        <f t="shared" si="6"/>
        <v>25</v>
      </c>
      <c r="I38" s="31">
        <f t="shared" si="6"/>
        <v>16</v>
      </c>
      <c r="J38" s="31">
        <f t="shared" si="6"/>
        <v>9</v>
      </c>
      <c r="K38" s="31">
        <f t="shared" si="6"/>
        <v>4</v>
      </c>
      <c r="L38" s="31">
        <f t="shared" si="6"/>
        <v>16</v>
      </c>
      <c r="M38" s="31">
        <f t="shared" si="6"/>
        <v>0</v>
      </c>
      <c r="N38" s="31">
        <f t="shared" si="6"/>
        <v>0</v>
      </c>
      <c r="O38" s="31">
        <f t="shared" si="6"/>
        <v>0</v>
      </c>
      <c r="P38" s="31">
        <f t="shared" si="6"/>
        <v>0</v>
      </c>
      <c r="Q38" s="31">
        <f t="shared" si="6"/>
        <v>0</v>
      </c>
      <c r="R38" s="31">
        <f t="shared" si="6"/>
        <v>0</v>
      </c>
      <c r="S38" s="31">
        <f t="shared" si="6"/>
        <v>0</v>
      </c>
      <c r="T38" s="31">
        <f t="shared" si="6"/>
        <v>0</v>
      </c>
      <c r="U38" s="31">
        <f t="shared" si="6"/>
        <v>0</v>
      </c>
      <c r="V38">
        <f t="shared" si="5"/>
        <v>193</v>
      </c>
      <c r="W38">
        <f t="shared" ref="W38:W49" si="7">V12*V12</f>
        <v>1936</v>
      </c>
      <c r="X38">
        <f>L4*(L4-1)</f>
        <v>110</v>
      </c>
      <c r="Y38">
        <f>L4*V37-W38</f>
        <v>132</v>
      </c>
      <c r="Z38">
        <f t="shared" ref="Z38:Z49" si="8">Y38/X38</f>
        <v>1.2</v>
      </c>
      <c r="AA38">
        <f t="shared" ref="AA38:AA49" si="9">SQRT(Z38)</f>
        <v>1.0954451150103321</v>
      </c>
      <c r="AB38">
        <f t="shared" ref="AB38:AB49" si="10">AA38/4*100</f>
        <v>27.386127875258303</v>
      </c>
    </row>
    <row r="39" spans="1:28" x14ac:dyDescent="0.2">
      <c r="A39" s="28">
        <v>3</v>
      </c>
      <c r="B39" s="31">
        <f t="shared" ref="B39:U39" si="11">B14*B14</f>
        <v>4</v>
      </c>
      <c r="C39" s="31">
        <f t="shared" si="11"/>
        <v>4</v>
      </c>
      <c r="D39" s="31">
        <f t="shared" si="11"/>
        <v>16</v>
      </c>
      <c r="E39" s="31">
        <f t="shared" si="11"/>
        <v>16</v>
      </c>
      <c r="F39" s="31">
        <f t="shared" si="11"/>
        <v>16</v>
      </c>
      <c r="G39" s="31">
        <f t="shared" si="11"/>
        <v>1</v>
      </c>
      <c r="H39" s="31">
        <f t="shared" si="11"/>
        <v>9</v>
      </c>
      <c r="I39" s="31">
        <f t="shared" si="11"/>
        <v>4</v>
      </c>
      <c r="J39" s="31">
        <f t="shared" si="11"/>
        <v>16</v>
      </c>
      <c r="K39" s="31">
        <f t="shared" si="11"/>
        <v>1</v>
      </c>
      <c r="L39" s="31">
        <f t="shared" si="11"/>
        <v>4</v>
      </c>
      <c r="M39" s="31">
        <f t="shared" si="11"/>
        <v>0</v>
      </c>
      <c r="N39" s="31">
        <f t="shared" si="11"/>
        <v>0</v>
      </c>
      <c r="O39" s="31">
        <f t="shared" si="11"/>
        <v>0</v>
      </c>
      <c r="P39" s="31">
        <f t="shared" si="11"/>
        <v>0</v>
      </c>
      <c r="Q39" s="31">
        <f t="shared" si="11"/>
        <v>0</v>
      </c>
      <c r="R39" s="31">
        <f t="shared" si="11"/>
        <v>0</v>
      </c>
      <c r="S39" s="31">
        <f t="shared" si="11"/>
        <v>0</v>
      </c>
      <c r="T39" s="31">
        <f t="shared" si="11"/>
        <v>0</v>
      </c>
      <c r="U39" s="31">
        <f t="shared" si="11"/>
        <v>0</v>
      </c>
      <c r="V39">
        <f t="shared" si="5"/>
        <v>91</v>
      </c>
      <c r="W39">
        <f t="shared" si="7"/>
        <v>2025</v>
      </c>
      <c r="X39">
        <f>L4*(L4-1)</f>
        <v>110</v>
      </c>
      <c r="Y39">
        <f>L4*V38-W39</f>
        <v>98</v>
      </c>
      <c r="Z39">
        <f t="shared" si="8"/>
        <v>0.89090909090909087</v>
      </c>
      <c r="AA39">
        <f t="shared" si="9"/>
        <v>0.94387980744853894</v>
      </c>
      <c r="AB39">
        <f t="shared" si="10"/>
        <v>23.596995186213473</v>
      </c>
    </row>
    <row r="40" spans="1:28" x14ac:dyDescent="0.2">
      <c r="A40" s="28">
        <v>4</v>
      </c>
      <c r="B40" s="31">
        <f t="shared" ref="B40:U40" si="12">B15*B15</f>
        <v>16</v>
      </c>
      <c r="C40" s="31">
        <f t="shared" si="12"/>
        <v>16</v>
      </c>
      <c r="D40" s="31">
        <f t="shared" si="12"/>
        <v>25</v>
      </c>
      <c r="E40" s="31">
        <f t="shared" si="12"/>
        <v>16</v>
      </c>
      <c r="F40" s="31">
        <f t="shared" si="12"/>
        <v>16</v>
      </c>
      <c r="G40" s="31">
        <f t="shared" si="12"/>
        <v>25</v>
      </c>
      <c r="H40" s="31">
        <f t="shared" si="12"/>
        <v>9</v>
      </c>
      <c r="I40" s="31">
        <f t="shared" si="12"/>
        <v>4</v>
      </c>
      <c r="J40" s="31">
        <f t="shared" si="12"/>
        <v>9</v>
      </c>
      <c r="K40" s="31">
        <f t="shared" si="12"/>
        <v>4</v>
      </c>
      <c r="L40" s="31">
        <f t="shared" si="12"/>
        <v>4</v>
      </c>
      <c r="M40" s="31">
        <f t="shared" si="12"/>
        <v>0</v>
      </c>
      <c r="N40" s="31">
        <f t="shared" si="12"/>
        <v>0</v>
      </c>
      <c r="O40" s="31">
        <f t="shared" si="12"/>
        <v>0</v>
      </c>
      <c r="P40" s="31">
        <f t="shared" si="12"/>
        <v>0</v>
      </c>
      <c r="Q40" s="31">
        <f t="shared" si="12"/>
        <v>0</v>
      </c>
      <c r="R40" s="31">
        <f t="shared" si="12"/>
        <v>0</v>
      </c>
      <c r="S40" s="31">
        <f t="shared" si="12"/>
        <v>0</v>
      </c>
      <c r="T40" s="31">
        <f t="shared" si="12"/>
        <v>0</v>
      </c>
      <c r="U40" s="31">
        <f t="shared" si="12"/>
        <v>0</v>
      </c>
      <c r="V40">
        <f t="shared" si="5"/>
        <v>144</v>
      </c>
      <c r="W40">
        <f t="shared" si="7"/>
        <v>841</v>
      </c>
      <c r="X40">
        <f>L4*(L4-1)</f>
        <v>110</v>
      </c>
      <c r="Y40">
        <f>L4*V39-W40</f>
        <v>160</v>
      </c>
      <c r="Z40">
        <f t="shared" si="8"/>
        <v>1.4545454545454546</v>
      </c>
      <c r="AA40">
        <f t="shared" si="9"/>
        <v>1.2060453783110545</v>
      </c>
      <c r="AB40">
        <f t="shared" si="10"/>
        <v>30.151134457776362</v>
      </c>
    </row>
    <row r="41" spans="1:28" x14ac:dyDescent="0.2">
      <c r="A41" s="28">
        <v>5</v>
      </c>
      <c r="B41" s="31">
        <f t="shared" ref="B41:U41" si="13">B16*B16</f>
        <v>4</v>
      </c>
      <c r="C41" s="31">
        <f t="shared" si="13"/>
        <v>16</v>
      </c>
      <c r="D41" s="31">
        <f t="shared" si="13"/>
        <v>16</v>
      </c>
      <c r="E41" s="31">
        <f t="shared" si="13"/>
        <v>16</v>
      </c>
      <c r="F41" s="31">
        <f t="shared" si="13"/>
        <v>16</v>
      </c>
      <c r="G41" s="31">
        <f t="shared" si="13"/>
        <v>16</v>
      </c>
      <c r="H41" s="31">
        <f t="shared" si="13"/>
        <v>25</v>
      </c>
      <c r="I41" s="31">
        <f t="shared" si="13"/>
        <v>25</v>
      </c>
      <c r="J41" s="31">
        <f t="shared" si="13"/>
        <v>9</v>
      </c>
      <c r="K41" s="31">
        <f t="shared" si="13"/>
        <v>16</v>
      </c>
      <c r="L41" s="31">
        <f t="shared" si="13"/>
        <v>4</v>
      </c>
      <c r="M41" s="31">
        <f t="shared" si="13"/>
        <v>0</v>
      </c>
      <c r="N41" s="31">
        <f t="shared" si="13"/>
        <v>0</v>
      </c>
      <c r="O41" s="31">
        <f t="shared" si="13"/>
        <v>0</v>
      </c>
      <c r="P41" s="31">
        <f t="shared" si="13"/>
        <v>0</v>
      </c>
      <c r="Q41" s="31">
        <f t="shared" si="13"/>
        <v>0</v>
      </c>
      <c r="R41" s="31">
        <f t="shared" si="13"/>
        <v>0</v>
      </c>
      <c r="S41" s="31">
        <f t="shared" si="13"/>
        <v>0</v>
      </c>
      <c r="T41" s="31">
        <f t="shared" si="13"/>
        <v>0</v>
      </c>
      <c r="U41" s="31">
        <f t="shared" si="13"/>
        <v>0</v>
      </c>
      <c r="V41">
        <f t="shared" si="5"/>
        <v>163</v>
      </c>
      <c r="W41">
        <f t="shared" si="7"/>
        <v>1444</v>
      </c>
      <c r="X41">
        <f>L4*(L4-1)</f>
        <v>110</v>
      </c>
      <c r="Y41">
        <f>L4*V40-W41</f>
        <v>140</v>
      </c>
      <c r="Z41">
        <f t="shared" si="8"/>
        <v>1.2727272727272727</v>
      </c>
      <c r="AA41">
        <f t="shared" si="9"/>
        <v>1.1281521496355325</v>
      </c>
      <c r="AB41">
        <f t="shared" si="10"/>
        <v>28.203803740888311</v>
      </c>
    </row>
    <row r="42" spans="1:28" x14ac:dyDescent="0.2">
      <c r="A42" s="28">
        <v>6</v>
      </c>
      <c r="B42" s="31">
        <f t="shared" ref="B42:U42" si="14">B17*B17</f>
        <v>16</v>
      </c>
      <c r="C42" s="31">
        <f t="shared" si="14"/>
        <v>16</v>
      </c>
      <c r="D42" s="31">
        <f t="shared" si="14"/>
        <v>16</v>
      </c>
      <c r="E42" s="31">
        <f t="shared" si="14"/>
        <v>16</v>
      </c>
      <c r="F42" s="31">
        <f t="shared" si="14"/>
        <v>16</v>
      </c>
      <c r="G42" s="31">
        <f t="shared" si="14"/>
        <v>16</v>
      </c>
      <c r="H42" s="31">
        <f t="shared" si="14"/>
        <v>9</v>
      </c>
      <c r="I42" s="31">
        <f t="shared" si="14"/>
        <v>9</v>
      </c>
      <c r="J42" s="31">
        <f t="shared" si="14"/>
        <v>9</v>
      </c>
      <c r="K42" s="31">
        <f t="shared" si="14"/>
        <v>9</v>
      </c>
      <c r="L42" s="31">
        <f t="shared" si="14"/>
        <v>4</v>
      </c>
      <c r="M42" s="31">
        <f t="shared" si="14"/>
        <v>0</v>
      </c>
      <c r="N42" s="31">
        <f t="shared" si="14"/>
        <v>0</v>
      </c>
      <c r="O42" s="31">
        <f t="shared" si="14"/>
        <v>0</v>
      </c>
      <c r="P42" s="31">
        <f t="shared" si="14"/>
        <v>0</v>
      </c>
      <c r="Q42" s="31">
        <f t="shared" si="14"/>
        <v>0</v>
      </c>
      <c r="R42" s="31">
        <f t="shared" si="14"/>
        <v>0</v>
      </c>
      <c r="S42" s="31">
        <f t="shared" si="14"/>
        <v>0</v>
      </c>
      <c r="T42" s="31">
        <f t="shared" si="14"/>
        <v>0</v>
      </c>
      <c r="U42" s="31">
        <f t="shared" si="14"/>
        <v>0</v>
      </c>
      <c r="V42">
        <f t="shared" si="5"/>
        <v>136</v>
      </c>
      <c r="W42">
        <f t="shared" si="7"/>
        <v>1681</v>
      </c>
      <c r="X42">
        <f>L4*(L4-1)</f>
        <v>110</v>
      </c>
      <c r="Y42">
        <f>L4*V41-W42</f>
        <v>112</v>
      </c>
      <c r="Z42">
        <f t="shared" si="8"/>
        <v>1.0181818181818181</v>
      </c>
      <c r="AA42">
        <f t="shared" si="9"/>
        <v>1.009049958219026</v>
      </c>
      <c r="AB42">
        <f t="shared" si="10"/>
        <v>25.226248955475651</v>
      </c>
    </row>
    <row r="43" spans="1:28" x14ac:dyDescent="0.2">
      <c r="A43" s="28">
        <v>7</v>
      </c>
      <c r="B43" s="31">
        <f t="shared" ref="B43:U43" si="15">B18*B18</f>
        <v>4</v>
      </c>
      <c r="C43" s="31">
        <f t="shared" si="15"/>
        <v>4</v>
      </c>
      <c r="D43" s="31">
        <f t="shared" si="15"/>
        <v>4</v>
      </c>
      <c r="E43" s="31">
        <f t="shared" si="15"/>
        <v>4</v>
      </c>
      <c r="F43" s="31">
        <f t="shared" si="15"/>
        <v>4</v>
      </c>
      <c r="G43" s="31">
        <f t="shared" si="15"/>
        <v>1</v>
      </c>
      <c r="H43" s="31">
        <f t="shared" si="15"/>
        <v>4</v>
      </c>
      <c r="I43" s="31">
        <f t="shared" si="15"/>
        <v>4</v>
      </c>
      <c r="J43" s="31">
        <f t="shared" si="15"/>
        <v>4</v>
      </c>
      <c r="K43" s="31">
        <f t="shared" si="15"/>
        <v>4</v>
      </c>
      <c r="L43" s="31">
        <f t="shared" si="15"/>
        <v>4</v>
      </c>
      <c r="M43" s="31">
        <f t="shared" si="15"/>
        <v>0</v>
      </c>
      <c r="N43" s="31">
        <f t="shared" si="15"/>
        <v>0</v>
      </c>
      <c r="O43" s="31">
        <f t="shared" si="15"/>
        <v>0</v>
      </c>
      <c r="P43" s="31">
        <f t="shared" si="15"/>
        <v>0</v>
      </c>
      <c r="Q43" s="31">
        <f t="shared" si="15"/>
        <v>0</v>
      </c>
      <c r="R43" s="31">
        <f t="shared" si="15"/>
        <v>0</v>
      </c>
      <c r="S43" s="31">
        <f t="shared" si="15"/>
        <v>0</v>
      </c>
      <c r="T43" s="31">
        <f t="shared" si="15"/>
        <v>0</v>
      </c>
      <c r="U43" s="31">
        <f t="shared" si="15"/>
        <v>0</v>
      </c>
      <c r="V43">
        <f t="shared" si="5"/>
        <v>41</v>
      </c>
      <c r="W43">
        <f t="shared" si="7"/>
        <v>1444</v>
      </c>
      <c r="X43">
        <f>L4*(L4-1)</f>
        <v>110</v>
      </c>
      <c r="Y43">
        <f>L4*V42-W43</f>
        <v>52</v>
      </c>
      <c r="Z43">
        <f t="shared" si="8"/>
        <v>0.47272727272727272</v>
      </c>
      <c r="AA43">
        <f t="shared" si="9"/>
        <v>0.68755165095232862</v>
      </c>
      <c r="AB43">
        <f t="shared" si="10"/>
        <v>17.188791273808217</v>
      </c>
    </row>
    <row r="44" spans="1:28" x14ac:dyDescent="0.2">
      <c r="A44" s="28">
        <v>8</v>
      </c>
      <c r="B44" s="31">
        <f t="shared" ref="B44:U44" si="16">B19*B19</f>
        <v>4</v>
      </c>
      <c r="C44" s="31">
        <f t="shared" si="16"/>
        <v>4</v>
      </c>
      <c r="D44" s="31">
        <f t="shared" si="16"/>
        <v>4</v>
      </c>
      <c r="E44" s="31">
        <f t="shared" si="16"/>
        <v>9</v>
      </c>
      <c r="F44" s="31">
        <f t="shared" si="16"/>
        <v>4</v>
      </c>
      <c r="G44" s="31">
        <f t="shared" si="16"/>
        <v>4</v>
      </c>
      <c r="H44" s="31">
        <f t="shared" si="16"/>
        <v>4</v>
      </c>
      <c r="I44" s="31">
        <f t="shared" si="16"/>
        <v>4</v>
      </c>
      <c r="J44" s="31">
        <f t="shared" si="16"/>
        <v>4</v>
      </c>
      <c r="K44" s="31">
        <f t="shared" si="16"/>
        <v>4</v>
      </c>
      <c r="L44" s="31">
        <f t="shared" si="16"/>
        <v>4</v>
      </c>
      <c r="M44" s="31">
        <f t="shared" si="16"/>
        <v>0</v>
      </c>
      <c r="N44" s="31">
        <f t="shared" si="16"/>
        <v>0</v>
      </c>
      <c r="O44" s="31">
        <f t="shared" si="16"/>
        <v>0</v>
      </c>
      <c r="P44" s="31">
        <f t="shared" si="16"/>
        <v>0</v>
      </c>
      <c r="Q44" s="31">
        <f t="shared" si="16"/>
        <v>0</v>
      </c>
      <c r="R44" s="31">
        <f t="shared" si="16"/>
        <v>0</v>
      </c>
      <c r="S44" s="31">
        <f t="shared" si="16"/>
        <v>0</v>
      </c>
      <c r="T44" s="31">
        <f t="shared" si="16"/>
        <v>0</v>
      </c>
      <c r="U44" s="31">
        <f t="shared" si="16"/>
        <v>0</v>
      </c>
      <c r="V44">
        <f t="shared" si="5"/>
        <v>49</v>
      </c>
      <c r="W44">
        <f t="shared" si="7"/>
        <v>441</v>
      </c>
      <c r="X44">
        <f>L4*(L4-1)</f>
        <v>110</v>
      </c>
      <c r="Y44">
        <f>L4*V43-W44</f>
        <v>10</v>
      </c>
      <c r="Z44">
        <f t="shared" si="8"/>
        <v>9.0909090909090912E-2</v>
      </c>
      <c r="AA44">
        <f t="shared" si="9"/>
        <v>0.30151134457776363</v>
      </c>
      <c r="AB44">
        <f t="shared" si="10"/>
        <v>7.5377836144440904</v>
      </c>
    </row>
    <row r="45" spans="1:28" x14ac:dyDescent="0.2">
      <c r="A45" s="28">
        <v>9</v>
      </c>
      <c r="B45" s="31">
        <f t="shared" ref="B45:U45" si="17">B20*B20</f>
        <v>4</v>
      </c>
      <c r="C45" s="31">
        <f t="shared" si="17"/>
        <v>4</v>
      </c>
      <c r="D45" s="31">
        <f t="shared" si="17"/>
        <v>16</v>
      </c>
      <c r="E45" s="31">
        <f t="shared" si="17"/>
        <v>16</v>
      </c>
      <c r="F45" s="31">
        <f t="shared" si="17"/>
        <v>16</v>
      </c>
      <c r="G45" s="31">
        <f t="shared" si="17"/>
        <v>16</v>
      </c>
      <c r="H45" s="31">
        <f t="shared" si="17"/>
        <v>4</v>
      </c>
      <c r="I45" s="31">
        <f t="shared" si="17"/>
        <v>4</v>
      </c>
      <c r="J45" s="31">
        <f t="shared" si="17"/>
        <v>4</v>
      </c>
      <c r="K45" s="31">
        <f t="shared" si="17"/>
        <v>4</v>
      </c>
      <c r="L45" s="31">
        <f t="shared" si="17"/>
        <v>4</v>
      </c>
      <c r="M45" s="31">
        <f t="shared" si="17"/>
        <v>0</v>
      </c>
      <c r="N45" s="31">
        <f t="shared" si="17"/>
        <v>0</v>
      </c>
      <c r="O45" s="31">
        <f t="shared" si="17"/>
        <v>0</v>
      </c>
      <c r="P45" s="31">
        <f t="shared" si="17"/>
        <v>0</v>
      </c>
      <c r="Q45" s="31">
        <f t="shared" si="17"/>
        <v>0</v>
      </c>
      <c r="R45" s="31">
        <f t="shared" si="17"/>
        <v>0</v>
      </c>
      <c r="S45" s="31">
        <f t="shared" si="17"/>
        <v>0</v>
      </c>
      <c r="T45" s="31">
        <f t="shared" si="17"/>
        <v>0</v>
      </c>
      <c r="U45" s="31">
        <f t="shared" si="17"/>
        <v>0</v>
      </c>
      <c r="V45">
        <f t="shared" si="5"/>
        <v>92</v>
      </c>
      <c r="W45">
        <f t="shared" si="7"/>
        <v>529</v>
      </c>
      <c r="X45">
        <f>L4*(L4-1)</f>
        <v>110</v>
      </c>
      <c r="Y45">
        <f>L4*V44-W45</f>
        <v>10</v>
      </c>
      <c r="Z45">
        <f t="shared" si="8"/>
        <v>9.0909090909090912E-2</v>
      </c>
      <c r="AA45">
        <f t="shared" si="9"/>
        <v>0.30151134457776363</v>
      </c>
      <c r="AB45">
        <f t="shared" si="10"/>
        <v>7.5377836144440904</v>
      </c>
    </row>
    <row r="46" spans="1:28" x14ac:dyDescent="0.2">
      <c r="A46" s="28">
        <v>10</v>
      </c>
      <c r="B46" s="31">
        <f t="shared" ref="B46:U46" si="18">B21*B21</f>
        <v>4</v>
      </c>
      <c r="C46" s="31">
        <f t="shared" si="18"/>
        <v>16</v>
      </c>
      <c r="D46" s="31">
        <f t="shared" si="18"/>
        <v>16</v>
      </c>
      <c r="E46" s="31">
        <f t="shared" si="18"/>
        <v>16</v>
      </c>
      <c r="F46" s="31">
        <f t="shared" si="18"/>
        <v>16</v>
      </c>
      <c r="G46" s="31">
        <f t="shared" si="18"/>
        <v>16</v>
      </c>
      <c r="H46" s="31">
        <f t="shared" si="18"/>
        <v>4</v>
      </c>
      <c r="I46" s="31">
        <f t="shared" si="18"/>
        <v>4</v>
      </c>
      <c r="J46" s="31">
        <f t="shared" si="18"/>
        <v>9</v>
      </c>
      <c r="K46" s="31">
        <f t="shared" si="18"/>
        <v>4</v>
      </c>
      <c r="L46" s="31">
        <f t="shared" si="18"/>
        <v>4</v>
      </c>
      <c r="M46" s="31">
        <f t="shared" si="18"/>
        <v>0</v>
      </c>
      <c r="N46" s="31">
        <f t="shared" si="18"/>
        <v>0</v>
      </c>
      <c r="O46" s="31">
        <f t="shared" si="18"/>
        <v>0</v>
      </c>
      <c r="P46" s="31">
        <f t="shared" si="18"/>
        <v>0</v>
      </c>
      <c r="Q46" s="31">
        <f t="shared" si="18"/>
        <v>0</v>
      </c>
      <c r="R46" s="31">
        <f t="shared" si="18"/>
        <v>0</v>
      </c>
      <c r="S46" s="31">
        <f t="shared" si="18"/>
        <v>0</v>
      </c>
      <c r="T46" s="31">
        <f t="shared" si="18"/>
        <v>0</v>
      </c>
      <c r="U46" s="31">
        <f t="shared" si="18"/>
        <v>0</v>
      </c>
      <c r="V46">
        <f t="shared" si="5"/>
        <v>109</v>
      </c>
      <c r="W46">
        <f t="shared" si="7"/>
        <v>900</v>
      </c>
      <c r="X46">
        <f>L4*(L4-1)</f>
        <v>110</v>
      </c>
      <c r="Y46">
        <f>L4*V45-W46</f>
        <v>112</v>
      </c>
      <c r="Z46">
        <f t="shared" si="8"/>
        <v>1.0181818181818181</v>
      </c>
      <c r="AA46">
        <f t="shared" si="9"/>
        <v>1.009049958219026</v>
      </c>
      <c r="AB46">
        <f t="shared" si="10"/>
        <v>25.226248955475651</v>
      </c>
    </row>
    <row r="47" spans="1:28" x14ac:dyDescent="0.2">
      <c r="A47" s="28">
        <v>11</v>
      </c>
      <c r="B47" s="31">
        <f t="shared" ref="B47:U47" si="19">B22*B22</f>
        <v>4</v>
      </c>
      <c r="C47" s="31">
        <f t="shared" si="19"/>
        <v>16</v>
      </c>
      <c r="D47" s="31">
        <f t="shared" si="19"/>
        <v>16</v>
      </c>
      <c r="E47" s="31">
        <f t="shared" si="19"/>
        <v>16</v>
      </c>
      <c r="F47" s="31">
        <f t="shared" si="19"/>
        <v>16</v>
      </c>
      <c r="G47" s="31">
        <f t="shared" si="19"/>
        <v>16</v>
      </c>
      <c r="H47" s="31">
        <f t="shared" si="19"/>
        <v>16</v>
      </c>
      <c r="I47" s="31">
        <f t="shared" si="19"/>
        <v>16</v>
      </c>
      <c r="J47" s="31">
        <f t="shared" si="19"/>
        <v>9</v>
      </c>
      <c r="K47" s="31">
        <f t="shared" si="19"/>
        <v>4</v>
      </c>
      <c r="L47" s="31">
        <f t="shared" si="19"/>
        <v>16</v>
      </c>
      <c r="M47" s="31">
        <f t="shared" si="19"/>
        <v>0</v>
      </c>
      <c r="N47" s="31">
        <f t="shared" si="19"/>
        <v>0</v>
      </c>
      <c r="O47" s="31">
        <f t="shared" si="19"/>
        <v>0</v>
      </c>
      <c r="P47" s="31">
        <f t="shared" si="19"/>
        <v>0</v>
      </c>
      <c r="Q47" s="31">
        <f t="shared" si="19"/>
        <v>0</v>
      </c>
      <c r="R47" s="31">
        <f t="shared" si="19"/>
        <v>0</v>
      </c>
      <c r="S47" s="31">
        <f t="shared" si="19"/>
        <v>0</v>
      </c>
      <c r="T47" s="31">
        <f t="shared" si="19"/>
        <v>0</v>
      </c>
      <c r="U47" s="31">
        <f t="shared" si="19"/>
        <v>0</v>
      </c>
      <c r="V47">
        <f t="shared" si="5"/>
        <v>145</v>
      </c>
      <c r="W47">
        <f t="shared" si="7"/>
        <v>1089</v>
      </c>
      <c r="X47">
        <f>L4*(L4-1)</f>
        <v>110</v>
      </c>
      <c r="Y47">
        <f>L4*V46-W47</f>
        <v>110</v>
      </c>
      <c r="Z47">
        <f t="shared" si="8"/>
        <v>1</v>
      </c>
      <c r="AA47">
        <f t="shared" si="9"/>
        <v>1</v>
      </c>
      <c r="AB47">
        <f t="shared" si="10"/>
        <v>25</v>
      </c>
    </row>
    <row r="48" spans="1:28" x14ac:dyDescent="0.2">
      <c r="A48" s="28">
        <v>12</v>
      </c>
      <c r="B48" s="31">
        <f t="shared" ref="B48:U48" si="20">B23*B23</f>
        <v>25</v>
      </c>
      <c r="C48" s="31">
        <f t="shared" si="20"/>
        <v>4</v>
      </c>
      <c r="D48" s="31">
        <f t="shared" si="20"/>
        <v>16</v>
      </c>
      <c r="E48" s="31">
        <f t="shared" si="20"/>
        <v>9</v>
      </c>
      <c r="F48" s="31">
        <f t="shared" si="20"/>
        <v>16</v>
      </c>
      <c r="G48" s="31">
        <f t="shared" si="20"/>
        <v>25</v>
      </c>
      <c r="H48" s="31">
        <f t="shared" si="20"/>
        <v>4</v>
      </c>
      <c r="I48" s="31">
        <f t="shared" si="20"/>
        <v>4</v>
      </c>
      <c r="J48" s="31">
        <f t="shared" si="20"/>
        <v>4</v>
      </c>
      <c r="K48" s="31">
        <f t="shared" si="20"/>
        <v>4</v>
      </c>
      <c r="L48" s="31">
        <f t="shared" si="20"/>
        <v>4</v>
      </c>
      <c r="M48" s="31">
        <f t="shared" si="20"/>
        <v>0</v>
      </c>
      <c r="N48" s="31">
        <f t="shared" si="20"/>
        <v>0</v>
      </c>
      <c r="O48" s="31">
        <f t="shared" si="20"/>
        <v>0</v>
      </c>
      <c r="P48" s="31">
        <f t="shared" si="20"/>
        <v>0</v>
      </c>
      <c r="Q48" s="31">
        <f t="shared" si="20"/>
        <v>0</v>
      </c>
      <c r="R48" s="31">
        <f t="shared" si="20"/>
        <v>0</v>
      </c>
      <c r="S48" s="31">
        <f t="shared" si="20"/>
        <v>0</v>
      </c>
      <c r="T48" s="31">
        <f t="shared" si="20"/>
        <v>0</v>
      </c>
      <c r="U48" s="31">
        <f t="shared" si="20"/>
        <v>0</v>
      </c>
      <c r="V48">
        <f t="shared" si="5"/>
        <v>115</v>
      </c>
      <c r="W48">
        <f t="shared" si="7"/>
        <v>1521</v>
      </c>
      <c r="X48">
        <f>L4*(L4-1)</f>
        <v>110</v>
      </c>
      <c r="Y48">
        <f>L4*V47-W48</f>
        <v>74</v>
      </c>
      <c r="Z48">
        <f t="shared" si="8"/>
        <v>0.67272727272727273</v>
      </c>
      <c r="AA48">
        <f t="shared" si="9"/>
        <v>0.82019953226472442</v>
      </c>
      <c r="AB48">
        <f t="shared" si="10"/>
        <v>20.50498830661811</v>
      </c>
    </row>
    <row r="49" spans="1:28" x14ac:dyDescent="0.2">
      <c r="A49" s="28">
        <v>13</v>
      </c>
      <c r="B49" s="31">
        <f t="shared" ref="B49:U49" si="21">B24*B24</f>
        <v>25</v>
      </c>
      <c r="C49" s="31">
        <f t="shared" si="21"/>
        <v>4</v>
      </c>
      <c r="D49" s="31">
        <f t="shared" si="21"/>
        <v>9</v>
      </c>
      <c r="E49" s="31">
        <f t="shared" si="21"/>
        <v>9</v>
      </c>
      <c r="F49" s="31">
        <f t="shared" si="21"/>
        <v>4</v>
      </c>
      <c r="G49" s="31">
        <f t="shared" si="21"/>
        <v>25</v>
      </c>
      <c r="H49" s="31">
        <f t="shared" si="21"/>
        <v>4</v>
      </c>
      <c r="I49" s="31">
        <f t="shared" si="21"/>
        <v>4</v>
      </c>
      <c r="J49" s="31">
        <f t="shared" si="21"/>
        <v>9</v>
      </c>
      <c r="K49" s="31">
        <f t="shared" si="21"/>
        <v>4</v>
      </c>
      <c r="L49" s="31">
        <f t="shared" si="21"/>
        <v>9</v>
      </c>
      <c r="M49" s="31">
        <f t="shared" si="21"/>
        <v>0</v>
      </c>
      <c r="N49" s="31">
        <f t="shared" si="21"/>
        <v>0</v>
      </c>
      <c r="O49" s="31">
        <f t="shared" si="21"/>
        <v>0</v>
      </c>
      <c r="P49" s="31">
        <f t="shared" si="21"/>
        <v>0</v>
      </c>
      <c r="Q49" s="31">
        <f t="shared" si="21"/>
        <v>0</v>
      </c>
      <c r="R49" s="31">
        <f t="shared" si="21"/>
        <v>0</v>
      </c>
      <c r="S49" s="31">
        <f t="shared" si="21"/>
        <v>0</v>
      </c>
      <c r="T49" s="31">
        <f t="shared" si="21"/>
        <v>0</v>
      </c>
      <c r="U49" s="31">
        <f t="shared" si="21"/>
        <v>0</v>
      </c>
      <c r="V49">
        <f t="shared" si="5"/>
        <v>106</v>
      </c>
      <c r="W49">
        <f t="shared" si="7"/>
        <v>1089</v>
      </c>
      <c r="X49">
        <f>L4*(L4-1)</f>
        <v>110</v>
      </c>
      <c r="Y49">
        <f>L4*V48-W49</f>
        <v>176</v>
      </c>
      <c r="Z49">
        <f t="shared" si="8"/>
        <v>1.6</v>
      </c>
      <c r="AA49">
        <f t="shared" si="9"/>
        <v>1.2649110640673518</v>
      </c>
      <c r="AB49">
        <f t="shared" si="10"/>
        <v>31.622776601683793</v>
      </c>
    </row>
    <row r="50" spans="1:28" x14ac:dyDescent="0.2">
      <c r="A50" s="28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8" x14ac:dyDescent="0.2">
      <c r="A51" s="28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1:28" x14ac:dyDescent="0.2">
      <c r="A52" s="28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</sheetData>
  <pageMargins left="0.78740157499999996" right="0.78740157499999996" top="0.984251969" bottom="0.984251969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3"/>
  <dimension ref="A1:AD53"/>
  <sheetViews>
    <sheetView workbookViewId="0">
      <selection activeCell="AC2" sqref="AC2:AD7"/>
    </sheetView>
  </sheetViews>
  <sheetFormatPr baseColWidth="10" defaultColWidth="8.85546875" defaultRowHeight="12.75" x14ac:dyDescent="0.2"/>
  <cols>
    <col min="1" max="1" width="6.42578125" customWidth="1"/>
    <col min="2" max="7" width="5.42578125" customWidth="1"/>
    <col min="8" max="21" width="3.7109375" customWidth="1"/>
    <col min="22" max="22" width="8.7109375" customWidth="1"/>
    <col min="23" max="23" width="9.7109375" customWidth="1"/>
    <col min="24" max="24" width="8.85546875" customWidth="1"/>
    <col min="25" max="25" width="6.85546875" customWidth="1"/>
    <col min="26" max="26" width="16.42578125" customWidth="1"/>
    <col min="27" max="27" width="13.140625" customWidth="1"/>
  </cols>
  <sheetData>
    <row r="1" spans="1:30" ht="18" x14ac:dyDescent="0.25">
      <c r="A1" s="1" t="s">
        <v>78</v>
      </c>
    </row>
    <row r="2" spans="1:30" x14ac:dyDescent="0.2">
      <c r="L2" s="26" t="s">
        <v>57</v>
      </c>
      <c r="M2" s="4"/>
      <c r="N2" s="4"/>
      <c r="O2" s="4"/>
      <c r="P2" s="4"/>
      <c r="Q2" s="4"/>
      <c r="R2" s="4"/>
      <c r="S2" s="4"/>
      <c r="T2" s="4"/>
      <c r="U2" s="5"/>
      <c r="W2" s="26" t="s">
        <v>66</v>
      </c>
      <c r="X2" s="4"/>
      <c r="Y2" s="4"/>
      <c r="Z2" s="4"/>
      <c r="AA2" s="5"/>
      <c r="AC2" t="s">
        <v>63</v>
      </c>
    </row>
    <row r="3" spans="1:30" ht="13.5" thickBot="1" x14ac:dyDescent="0.25">
      <c r="B3" s="3" t="s">
        <v>30</v>
      </c>
      <c r="C3" s="8"/>
      <c r="D3" s="8"/>
      <c r="G3" s="8"/>
      <c r="H3" s="8"/>
      <c r="I3" s="8"/>
      <c r="J3" s="8"/>
      <c r="K3" s="8"/>
      <c r="L3" s="47" t="s">
        <v>58</v>
      </c>
      <c r="M3" s="8"/>
      <c r="N3" s="8"/>
      <c r="O3" s="8"/>
      <c r="P3" s="22">
        <f>V24*V24</f>
        <v>279841</v>
      </c>
      <c r="Q3" s="43" t="s">
        <v>10</v>
      </c>
      <c r="S3" s="8"/>
      <c r="T3" s="8"/>
      <c r="U3" s="9"/>
      <c r="W3" s="35" t="s">
        <v>103</v>
      </c>
      <c r="X3" s="8" t="s">
        <v>67</v>
      </c>
      <c r="Y3" s="8"/>
      <c r="Z3" s="8"/>
      <c r="AA3" s="9"/>
      <c r="AC3">
        <v>37</v>
      </c>
      <c r="AD3" t="s">
        <v>210</v>
      </c>
    </row>
    <row r="4" spans="1:30" x14ac:dyDescent="0.2">
      <c r="A4" s="23">
        <f>(P8/L6)*100</f>
        <v>67.820512820512818</v>
      </c>
      <c r="B4" s="14" t="s">
        <v>79</v>
      </c>
      <c r="C4" s="15"/>
      <c r="D4" s="15"/>
      <c r="E4" s="15"/>
      <c r="F4" s="16"/>
      <c r="G4" s="16"/>
      <c r="H4" s="16"/>
      <c r="I4" s="16"/>
      <c r="J4" s="17"/>
      <c r="K4" s="8"/>
      <c r="L4" s="6">
        <v>13</v>
      </c>
      <c r="M4" s="8"/>
      <c r="N4" s="8"/>
      <c r="O4" s="8"/>
      <c r="P4" s="7">
        <f>L4*(L4-1)</f>
        <v>156</v>
      </c>
      <c r="Q4" s="43" t="s">
        <v>11</v>
      </c>
      <c r="S4" s="8"/>
      <c r="T4" s="8"/>
      <c r="U4" s="9"/>
      <c r="W4" s="35" t="s">
        <v>104</v>
      </c>
      <c r="X4" s="8" t="s">
        <v>43</v>
      </c>
      <c r="Y4" s="8"/>
      <c r="Z4" s="8"/>
      <c r="AA4" s="9"/>
      <c r="AC4">
        <v>45</v>
      </c>
      <c r="AD4" t="s">
        <v>211</v>
      </c>
    </row>
    <row r="5" spans="1:30" ht="13.5" thickBot="1" x14ac:dyDescent="0.25">
      <c r="A5" s="24">
        <f>100-(P9*2)</f>
        <v>65.331237735923182</v>
      </c>
      <c r="B5" s="18" t="s">
        <v>47</v>
      </c>
      <c r="C5" s="19"/>
      <c r="D5" s="19"/>
      <c r="E5" s="19"/>
      <c r="F5" s="20"/>
      <c r="G5" s="20"/>
      <c r="H5" s="20"/>
      <c r="I5" s="20"/>
      <c r="J5" s="21"/>
      <c r="K5" s="8"/>
      <c r="L5" s="47" t="s">
        <v>80</v>
      </c>
      <c r="M5" s="8"/>
      <c r="N5" s="8"/>
      <c r="O5" s="8"/>
      <c r="P5" s="22">
        <f>(L4*V25)-P3</f>
        <v>10800</v>
      </c>
      <c r="Q5" s="43" t="s">
        <v>122</v>
      </c>
      <c r="S5" s="8"/>
      <c r="T5" s="8"/>
      <c r="U5" s="9"/>
      <c r="W5" s="35" t="s">
        <v>105</v>
      </c>
      <c r="X5" s="8" t="s">
        <v>68</v>
      </c>
      <c r="Y5" s="8"/>
      <c r="Z5" s="8"/>
      <c r="AA5" s="9"/>
      <c r="AC5">
        <v>38</v>
      </c>
      <c r="AD5" t="s">
        <v>212</v>
      </c>
    </row>
    <row r="6" spans="1:30" x14ac:dyDescent="0.2">
      <c r="J6" s="8"/>
      <c r="K6" s="8"/>
      <c r="L6" s="6">
        <f>A23*5</f>
        <v>60</v>
      </c>
      <c r="M6" s="8"/>
      <c r="N6" s="10"/>
      <c r="O6" s="8"/>
      <c r="P6" s="7">
        <f>P5/P4</f>
        <v>69.230769230769226</v>
      </c>
      <c r="Q6" s="43" t="s">
        <v>12</v>
      </c>
      <c r="S6" s="8"/>
      <c r="T6" s="8"/>
      <c r="U6" s="9"/>
      <c r="W6" s="35" t="s">
        <v>106</v>
      </c>
      <c r="X6" s="8" t="s">
        <v>43</v>
      </c>
      <c r="Y6" s="8"/>
      <c r="Z6" s="8"/>
      <c r="AA6" s="9"/>
    </row>
    <row r="7" spans="1:30" x14ac:dyDescent="0.2">
      <c r="C7" s="8"/>
      <c r="D7" s="8"/>
      <c r="G7" s="8"/>
      <c r="H7" s="8"/>
      <c r="I7" s="8"/>
      <c r="J7" s="8"/>
      <c r="K7" s="8"/>
      <c r="L7" s="47" t="s">
        <v>60</v>
      </c>
      <c r="M7" s="8"/>
      <c r="N7" s="10"/>
      <c r="O7" s="8"/>
      <c r="P7" s="7">
        <f>SQRT(P6)</f>
        <v>8.3205029433784361</v>
      </c>
      <c r="Q7" s="43" t="s">
        <v>13</v>
      </c>
      <c r="S7" s="8"/>
      <c r="T7" s="8"/>
      <c r="U7" s="9"/>
      <c r="W7" s="46" t="s">
        <v>107</v>
      </c>
      <c r="X7" s="12" t="s">
        <v>69</v>
      </c>
      <c r="Y7" s="12"/>
      <c r="Z7" s="12"/>
      <c r="AA7" s="13"/>
      <c r="AC7">
        <f>SUM(AC3:AC6)</f>
        <v>120</v>
      </c>
    </row>
    <row r="8" spans="1:30" x14ac:dyDescent="0.2">
      <c r="C8" s="8"/>
      <c r="D8" s="8"/>
      <c r="G8" s="8"/>
      <c r="H8" s="8"/>
      <c r="I8" s="8"/>
      <c r="J8" s="8"/>
      <c r="L8" s="6">
        <v>12</v>
      </c>
      <c r="M8" s="8"/>
      <c r="N8" s="8"/>
      <c r="O8" s="8"/>
      <c r="P8" s="8">
        <f>V24/L4</f>
        <v>40.692307692307693</v>
      </c>
      <c r="Q8" s="43" t="s">
        <v>48</v>
      </c>
      <c r="R8" s="8"/>
      <c r="S8" s="8"/>
      <c r="T8" s="8"/>
      <c r="U8" s="9"/>
    </row>
    <row r="9" spans="1:30" x14ac:dyDescent="0.2">
      <c r="L9" s="11"/>
      <c r="M9" s="12"/>
      <c r="N9" s="12"/>
      <c r="O9" s="12"/>
      <c r="P9" s="12">
        <f>P7/((L8*5)-(L8*1))*100</f>
        <v>17.334381132038409</v>
      </c>
      <c r="Q9" s="44" t="s">
        <v>81</v>
      </c>
      <c r="R9" s="12"/>
      <c r="S9" s="12"/>
      <c r="T9" s="12"/>
      <c r="U9" s="13"/>
    </row>
    <row r="10" spans="1:30" x14ac:dyDescent="0.2">
      <c r="A10" s="3"/>
      <c r="B10" s="3" t="s">
        <v>63</v>
      </c>
      <c r="C10" s="3"/>
      <c r="D10" s="3"/>
      <c r="E10" s="3"/>
      <c r="F10" s="3">
        <v>5</v>
      </c>
      <c r="G10" s="3"/>
      <c r="H10" s="3"/>
      <c r="I10" s="3"/>
      <c r="J10" s="3"/>
      <c r="K10" s="3">
        <v>10</v>
      </c>
      <c r="L10" s="3"/>
      <c r="M10" s="3"/>
      <c r="N10" s="3"/>
      <c r="O10" s="3"/>
      <c r="P10" s="3">
        <v>15</v>
      </c>
      <c r="Q10" s="3"/>
      <c r="R10" s="3"/>
      <c r="S10" s="3"/>
      <c r="T10" s="3"/>
      <c r="U10" s="3">
        <v>20</v>
      </c>
      <c r="W10" s="26" t="s">
        <v>82</v>
      </c>
      <c r="X10" s="38"/>
      <c r="Y10" s="4"/>
      <c r="Z10" s="4"/>
      <c r="AA10" s="5"/>
    </row>
    <row r="11" spans="1:30" x14ac:dyDescent="0.2">
      <c r="A11" s="28" t="s">
        <v>1</v>
      </c>
      <c r="B11" s="71" t="s">
        <v>110</v>
      </c>
      <c r="C11" s="71" t="s">
        <v>111</v>
      </c>
      <c r="D11" s="71" t="s">
        <v>112</v>
      </c>
      <c r="E11" s="71" t="s">
        <v>113</v>
      </c>
      <c r="F11" s="71" t="s">
        <v>114</v>
      </c>
      <c r="G11" s="71" t="s">
        <v>115</v>
      </c>
      <c r="H11" s="71" t="s">
        <v>116</v>
      </c>
      <c r="I11" s="71" t="s">
        <v>117</v>
      </c>
      <c r="J11" s="73" t="s">
        <v>118</v>
      </c>
      <c r="K11" s="73" t="s">
        <v>119</v>
      </c>
      <c r="L11" s="73" t="s">
        <v>120</v>
      </c>
      <c r="M11" s="73" t="s">
        <v>121</v>
      </c>
      <c r="N11" s="73" t="s">
        <v>122</v>
      </c>
      <c r="O11" s="28" t="s">
        <v>123</v>
      </c>
      <c r="P11" s="28" t="s">
        <v>124</v>
      </c>
      <c r="Q11" s="28" t="s">
        <v>12</v>
      </c>
      <c r="R11" s="28" t="s">
        <v>14</v>
      </c>
      <c r="S11" s="28" t="s">
        <v>15</v>
      </c>
      <c r="T11" s="28" t="s">
        <v>16</v>
      </c>
      <c r="U11" s="28" t="s">
        <v>17</v>
      </c>
      <c r="V11" s="31" t="s">
        <v>125</v>
      </c>
      <c r="W11" s="27" t="s">
        <v>31</v>
      </c>
      <c r="X11" s="45" t="s">
        <v>32</v>
      </c>
      <c r="Y11" s="37" t="s">
        <v>64</v>
      </c>
      <c r="Z11" s="8"/>
      <c r="AA11" s="9"/>
    </row>
    <row r="12" spans="1:30" x14ac:dyDescent="0.2">
      <c r="A12" s="28">
        <v>1</v>
      </c>
      <c r="B12" s="28">
        <v>5</v>
      </c>
      <c r="C12" s="28">
        <v>4</v>
      </c>
      <c r="D12" s="28">
        <v>4</v>
      </c>
      <c r="E12" s="28">
        <v>4</v>
      </c>
      <c r="F12" s="28">
        <v>4</v>
      </c>
      <c r="G12" s="28">
        <v>4</v>
      </c>
      <c r="H12" s="31">
        <v>4</v>
      </c>
      <c r="I12" s="31">
        <v>4</v>
      </c>
      <c r="J12" s="31">
        <v>5</v>
      </c>
      <c r="K12" s="31">
        <v>4</v>
      </c>
      <c r="L12" s="31">
        <v>3</v>
      </c>
      <c r="M12" s="31">
        <v>2</v>
      </c>
      <c r="N12" s="31">
        <v>4</v>
      </c>
      <c r="O12" s="31"/>
      <c r="P12" s="31"/>
      <c r="Q12" s="31"/>
      <c r="R12" s="31"/>
      <c r="S12" s="31"/>
      <c r="T12" s="31"/>
      <c r="U12" s="31"/>
      <c r="V12" s="31">
        <f>SUM(B12:U12)</f>
        <v>51</v>
      </c>
      <c r="W12" s="39">
        <f>V12/L4*20</f>
        <v>78.461538461538453</v>
      </c>
      <c r="X12" s="40">
        <f t="shared" ref="X12:X23" si="0">100-(AB41*2)</f>
        <v>62.022273734362507</v>
      </c>
      <c r="Y12" s="8" t="s">
        <v>156</v>
      </c>
      <c r="Z12" s="8"/>
      <c r="AA12" s="9"/>
    </row>
    <row r="13" spans="1:30" x14ac:dyDescent="0.2">
      <c r="A13" s="28">
        <v>2</v>
      </c>
      <c r="B13" s="31">
        <v>4</v>
      </c>
      <c r="C13" s="31">
        <v>4</v>
      </c>
      <c r="D13" s="31">
        <v>4</v>
      </c>
      <c r="E13" s="31">
        <v>5</v>
      </c>
      <c r="F13" s="31">
        <v>5</v>
      </c>
      <c r="G13" s="31">
        <v>4</v>
      </c>
      <c r="H13" s="31">
        <v>4</v>
      </c>
      <c r="I13" s="31">
        <v>5</v>
      </c>
      <c r="J13" s="31">
        <v>3</v>
      </c>
      <c r="K13" s="31">
        <v>4</v>
      </c>
      <c r="L13" s="31">
        <v>4</v>
      </c>
      <c r="M13" s="31">
        <v>4</v>
      </c>
      <c r="N13" s="31">
        <v>4</v>
      </c>
      <c r="O13" s="31"/>
      <c r="P13" s="31"/>
      <c r="Q13" s="31"/>
      <c r="R13" s="31"/>
      <c r="S13" s="31"/>
      <c r="T13" s="31"/>
      <c r="U13" s="31"/>
      <c r="V13" s="31">
        <f t="shared" ref="V13:V23" si="1">SUM(B13:U13)</f>
        <v>54</v>
      </c>
      <c r="W13" s="39">
        <f>V13/L4*20</f>
        <v>83.07692307692308</v>
      </c>
      <c r="X13" s="40">
        <f t="shared" si="0"/>
        <v>72.264990188738551</v>
      </c>
      <c r="Y13" s="8" t="s">
        <v>157</v>
      </c>
      <c r="Z13" s="8"/>
      <c r="AA13" s="9"/>
    </row>
    <row r="14" spans="1:30" x14ac:dyDescent="0.2">
      <c r="A14" s="28">
        <v>3</v>
      </c>
      <c r="B14" s="31">
        <v>4</v>
      </c>
      <c r="C14" s="31">
        <v>4</v>
      </c>
      <c r="D14" s="31">
        <v>3</v>
      </c>
      <c r="E14" s="31">
        <v>2</v>
      </c>
      <c r="F14" s="31">
        <v>4</v>
      </c>
      <c r="G14" s="31">
        <v>3</v>
      </c>
      <c r="H14" s="31">
        <v>2</v>
      </c>
      <c r="I14" s="31">
        <v>4</v>
      </c>
      <c r="J14" s="31">
        <v>2</v>
      </c>
      <c r="K14" s="31">
        <v>3</v>
      </c>
      <c r="L14" s="31">
        <v>2</v>
      </c>
      <c r="M14" s="31">
        <v>2</v>
      </c>
      <c r="N14" s="31">
        <v>2</v>
      </c>
      <c r="O14" s="31"/>
      <c r="P14" s="31"/>
      <c r="Q14" s="31"/>
      <c r="R14" s="31"/>
      <c r="S14" s="31"/>
      <c r="T14" s="31"/>
      <c r="U14" s="31"/>
      <c r="V14" s="31">
        <f t="shared" si="1"/>
        <v>37</v>
      </c>
      <c r="W14" s="39">
        <f>V14/L4*20</f>
        <v>56.923076923076927</v>
      </c>
      <c r="X14" s="40">
        <f t="shared" si="0"/>
        <v>55.06414828635414</v>
      </c>
      <c r="Y14" s="8" t="s">
        <v>158</v>
      </c>
      <c r="Z14" s="8"/>
      <c r="AA14" s="9"/>
    </row>
    <row r="15" spans="1:30" x14ac:dyDescent="0.2">
      <c r="A15" s="28">
        <v>4</v>
      </c>
      <c r="B15" s="31">
        <v>5</v>
      </c>
      <c r="C15" s="31">
        <v>2</v>
      </c>
      <c r="D15" s="31">
        <v>2</v>
      </c>
      <c r="E15" s="31">
        <v>4</v>
      </c>
      <c r="F15" s="31">
        <v>4</v>
      </c>
      <c r="G15" s="31">
        <v>4</v>
      </c>
      <c r="H15" s="31">
        <v>1</v>
      </c>
      <c r="I15" s="31">
        <v>4</v>
      </c>
      <c r="J15" s="31">
        <v>1</v>
      </c>
      <c r="K15" s="31">
        <v>3</v>
      </c>
      <c r="L15" s="31">
        <v>2</v>
      </c>
      <c r="M15" s="31">
        <v>2</v>
      </c>
      <c r="N15" s="31">
        <v>1</v>
      </c>
      <c r="O15" s="31"/>
      <c r="P15" s="31"/>
      <c r="Q15" s="31"/>
      <c r="R15" s="31"/>
      <c r="S15" s="31"/>
      <c r="T15" s="31"/>
      <c r="U15" s="31"/>
      <c r="V15" s="31">
        <f t="shared" si="1"/>
        <v>35</v>
      </c>
      <c r="W15" s="39">
        <f>V15/L4*20</f>
        <v>53.846153846153854</v>
      </c>
      <c r="X15" s="40">
        <f t="shared" si="0"/>
        <v>31.126276827880545</v>
      </c>
      <c r="Y15" s="8" t="s">
        <v>159</v>
      </c>
      <c r="Z15" s="8"/>
      <c r="AA15" s="9"/>
    </row>
    <row r="16" spans="1:30" x14ac:dyDescent="0.2">
      <c r="A16" s="28">
        <v>5</v>
      </c>
      <c r="B16" s="31">
        <v>3</v>
      </c>
      <c r="C16" s="31">
        <v>2</v>
      </c>
      <c r="D16" s="31">
        <v>2</v>
      </c>
      <c r="E16" s="31">
        <v>4</v>
      </c>
      <c r="F16" s="31">
        <v>4</v>
      </c>
      <c r="G16" s="31">
        <v>3</v>
      </c>
      <c r="H16" s="31">
        <v>1</v>
      </c>
      <c r="I16" s="31">
        <v>4</v>
      </c>
      <c r="J16" s="31">
        <v>3</v>
      </c>
      <c r="K16" s="31">
        <v>3</v>
      </c>
      <c r="L16" s="31">
        <v>2</v>
      </c>
      <c r="M16" s="31">
        <v>1</v>
      </c>
      <c r="N16" s="31">
        <v>1</v>
      </c>
      <c r="O16" s="31"/>
      <c r="P16" s="31"/>
      <c r="Q16" s="31"/>
      <c r="R16" s="31"/>
      <c r="S16" s="31"/>
      <c r="T16" s="31"/>
      <c r="U16" s="31"/>
      <c r="V16" s="31">
        <f t="shared" si="1"/>
        <v>33</v>
      </c>
      <c r="W16" s="39">
        <f>V16/L4*20</f>
        <v>50.769230769230766</v>
      </c>
      <c r="X16" s="40">
        <f t="shared" si="0"/>
        <v>43.669928785089198</v>
      </c>
      <c r="Y16" s="8" t="s">
        <v>160</v>
      </c>
      <c r="Z16" s="8"/>
      <c r="AA16" s="9"/>
    </row>
    <row r="17" spans="1:27" x14ac:dyDescent="0.2">
      <c r="A17" s="28">
        <v>6</v>
      </c>
      <c r="B17" s="31">
        <v>5</v>
      </c>
      <c r="C17" s="31">
        <v>4</v>
      </c>
      <c r="D17" s="31">
        <v>4</v>
      </c>
      <c r="E17" s="31">
        <v>4</v>
      </c>
      <c r="F17" s="31">
        <v>3</v>
      </c>
      <c r="G17" s="31">
        <v>3</v>
      </c>
      <c r="H17" s="31">
        <v>2</v>
      </c>
      <c r="I17" s="31">
        <v>4</v>
      </c>
      <c r="J17" s="31">
        <v>2</v>
      </c>
      <c r="K17" s="31">
        <v>4</v>
      </c>
      <c r="L17" s="31">
        <v>2</v>
      </c>
      <c r="M17" s="31">
        <v>2</v>
      </c>
      <c r="N17" s="31">
        <v>2</v>
      </c>
      <c r="O17" s="31"/>
      <c r="P17" s="31"/>
      <c r="Q17" s="31"/>
      <c r="R17" s="31"/>
      <c r="S17" s="31"/>
      <c r="T17" s="31"/>
      <c r="U17" s="31"/>
      <c r="V17" s="31">
        <f t="shared" si="1"/>
        <v>41</v>
      </c>
      <c r="W17" s="39">
        <f>V17/L4*20</f>
        <v>63.076923076923073</v>
      </c>
      <c r="X17" s="40">
        <f t="shared" si="0"/>
        <v>46.590599118094367</v>
      </c>
      <c r="Y17" s="8" t="s">
        <v>161</v>
      </c>
      <c r="Z17" s="8"/>
      <c r="AA17" s="9"/>
    </row>
    <row r="18" spans="1:27" x14ac:dyDescent="0.2">
      <c r="A18" s="28">
        <v>7</v>
      </c>
      <c r="B18" s="31">
        <v>3</v>
      </c>
      <c r="C18" s="31">
        <v>4</v>
      </c>
      <c r="D18" s="31">
        <v>4</v>
      </c>
      <c r="E18" s="31">
        <v>5</v>
      </c>
      <c r="F18" s="31">
        <v>4</v>
      </c>
      <c r="G18" s="31">
        <v>3</v>
      </c>
      <c r="H18" s="31">
        <v>2</v>
      </c>
      <c r="I18" s="31">
        <v>5</v>
      </c>
      <c r="J18" s="31">
        <v>1</v>
      </c>
      <c r="K18" s="31">
        <v>4</v>
      </c>
      <c r="L18" s="31">
        <v>2</v>
      </c>
      <c r="M18" s="31">
        <v>2</v>
      </c>
      <c r="N18" s="31">
        <v>2</v>
      </c>
      <c r="O18" s="31"/>
      <c r="P18" s="31"/>
      <c r="Q18" s="31"/>
      <c r="R18" s="31"/>
      <c r="S18" s="31"/>
      <c r="T18" s="31"/>
      <c r="U18" s="31"/>
      <c r="V18" s="31">
        <f t="shared" si="1"/>
        <v>41</v>
      </c>
      <c r="W18" s="39">
        <f>V18/L4*20</f>
        <v>63.076923076923073</v>
      </c>
      <c r="X18" s="40">
        <f t="shared" si="0"/>
        <v>35.948738477965151</v>
      </c>
      <c r="Y18" s="8" t="s">
        <v>162</v>
      </c>
      <c r="Z18" s="8"/>
      <c r="AA18" s="9"/>
    </row>
    <row r="19" spans="1:27" x14ac:dyDescent="0.2">
      <c r="A19" s="28">
        <v>8</v>
      </c>
      <c r="B19" s="31">
        <v>5</v>
      </c>
      <c r="C19" s="31">
        <v>2</v>
      </c>
      <c r="D19" s="31">
        <v>2</v>
      </c>
      <c r="E19" s="31">
        <v>4</v>
      </c>
      <c r="F19" s="31">
        <v>4</v>
      </c>
      <c r="G19" s="31">
        <v>4</v>
      </c>
      <c r="H19" s="31">
        <v>2</v>
      </c>
      <c r="I19" s="31">
        <v>4</v>
      </c>
      <c r="J19" s="31">
        <v>3</v>
      </c>
      <c r="K19" s="31">
        <v>4</v>
      </c>
      <c r="L19" s="31">
        <v>4</v>
      </c>
      <c r="M19" s="31">
        <v>1</v>
      </c>
      <c r="N19" s="31">
        <v>3</v>
      </c>
      <c r="O19" s="31"/>
      <c r="P19" s="31"/>
      <c r="Q19" s="31"/>
      <c r="R19" s="31"/>
      <c r="S19" s="31"/>
      <c r="T19" s="31"/>
      <c r="U19" s="31"/>
      <c r="V19" s="31">
        <f t="shared" si="1"/>
        <v>42</v>
      </c>
      <c r="W19" s="39">
        <f>V19/L4*20</f>
        <v>64.615384615384613</v>
      </c>
      <c r="X19" s="40">
        <f t="shared" si="0"/>
        <v>41.71247219656766</v>
      </c>
      <c r="Y19" s="8" t="s">
        <v>163</v>
      </c>
      <c r="Z19" s="8"/>
      <c r="AA19" s="9"/>
    </row>
    <row r="20" spans="1:27" x14ac:dyDescent="0.2">
      <c r="A20" s="28">
        <v>9</v>
      </c>
      <c r="B20" s="31">
        <v>3</v>
      </c>
      <c r="C20" s="31">
        <v>4</v>
      </c>
      <c r="D20" s="31">
        <v>4</v>
      </c>
      <c r="E20" s="31">
        <v>4</v>
      </c>
      <c r="F20" s="31">
        <v>4</v>
      </c>
      <c r="G20" s="31">
        <v>4</v>
      </c>
      <c r="H20" s="31">
        <v>3</v>
      </c>
      <c r="I20" s="31">
        <v>4</v>
      </c>
      <c r="J20" s="31">
        <v>5</v>
      </c>
      <c r="K20" s="31">
        <v>4</v>
      </c>
      <c r="L20" s="31">
        <v>2</v>
      </c>
      <c r="M20" s="31">
        <v>2</v>
      </c>
      <c r="N20" s="31">
        <v>4</v>
      </c>
      <c r="O20" s="31"/>
      <c r="P20" s="31"/>
      <c r="Q20" s="31"/>
      <c r="R20" s="31"/>
      <c r="S20" s="31"/>
      <c r="T20" s="31"/>
      <c r="U20" s="31"/>
      <c r="V20" s="31">
        <f t="shared" si="1"/>
        <v>47</v>
      </c>
      <c r="W20" s="39">
        <f>V20/L4*20</f>
        <v>72.307692307692307</v>
      </c>
      <c r="X20" s="40">
        <f t="shared" si="0"/>
        <v>56.514075368854797</v>
      </c>
      <c r="Y20" s="8" t="s">
        <v>164</v>
      </c>
      <c r="Z20" s="8"/>
      <c r="AA20" s="9"/>
    </row>
    <row r="21" spans="1:27" x14ac:dyDescent="0.2">
      <c r="A21" s="28">
        <v>10</v>
      </c>
      <c r="B21" s="31">
        <v>5</v>
      </c>
      <c r="C21" s="31">
        <v>4</v>
      </c>
      <c r="D21" s="31">
        <v>4</v>
      </c>
      <c r="E21" s="31">
        <v>4</v>
      </c>
      <c r="F21" s="31">
        <v>4</v>
      </c>
      <c r="G21" s="31">
        <v>5</v>
      </c>
      <c r="H21" s="31">
        <v>3</v>
      </c>
      <c r="I21" s="31">
        <v>4</v>
      </c>
      <c r="J21" s="31">
        <v>5</v>
      </c>
      <c r="K21" s="31">
        <v>4</v>
      </c>
      <c r="L21" s="31">
        <v>2</v>
      </c>
      <c r="M21" s="31">
        <v>2</v>
      </c>
      <c r="N21" s="31">
        <v>4</v>
      </c>
      <c r="O21" s="31"/>
      <c r="P21" s="31"/>
      <c r="Q21" s="31"/>
      <c r="R21" s="31"/>
      <c r="S21" s="31"/>
      <c r="T21" s="31"/>
      <c r="U21" s="31"/>
      <c r="V21" s="31">
        <f t="shared" si="1"/>
        <v>50</v>
      </c>
      <c r="W21" s="39">
        <f>V21/L4*20</f>
        <v>76.92307692307692</v>
      </c>
      <c r="X21" s="40">
        <f t="shared" si="0"/>
        <v>50.645188320717544</v>
      </c>
      <c r="Y21" s="8" t="s">
        <v>165</v>
      </c>
      <c r="Z21" s="8"/>
      <c r="AA21" s="9"/>
    </row>
    <row r="22" spans="1:27" x14ac:dyDescent="0.2">
      <c r="A22" s="28">
        <v>11</v>
      </c>
      <c r="B22" s="31">
        <v>5</v>
      </c>
      <c r="C22" s="31">
        <v>4</v>
      </c>
      <c r="D22" s="31">
        <v>4</v>
      </c>
      <c r="E22" s="31">
        <v>4</v>
      </c>
      <c r="F22" s="31">
        <v>4</v>
      </c>
      <c r="G22" s="31">
        <v>5</v>
      </c>
      <c r="H22" s="31">
        <v>3</v>
      </c>
      <c r="I22" s="31">
        <v>4</v>
      </c>
      <c r="J22" s="31">
        <v>1</v>
      </c>
      <c r="K22" s="31">
        <v>3</v>
      </c>
      <c r="L22" s="31">
        <v>2</v>
      </c>
      <c r="M22" s="31">
        <v>3</v>
      </c>
      <c r="N22" s="31">
        <v>4</v>
      </c>
      <c r="O22" s="31"/>
      <c r="P22" s="31"/>
      <c r="Q22" s="31"/>
      <c r="R22" s="31"/>
      <c r="S22" s="31"/>
      <c r="T22" s="31"/>
      <c r="U22" s="31"/>
      <c r="V22" s="31">
        <f t="shared" si="1"/>
        <v>46</v>
      </c>
      <c r="W22" s="39">
        <f>V22/L4*20</f>
        <v>70.769230769230774</v>
      </c>
      <c r="X22" s="40">
        <f t="shared" si="0"/>
        <v>43.669928785089198</v>
      </c>
      <c r="Y22" s="8" t="s">
        <v>166</v>
      </c>
      <c r="Z22" s="8"/>
      <c r="AA22" s="9"/>
    </row>
    <row r="23" spans="1:27" x14ac:dyDescent="0.2">
      <c r="A23" s="28">
        <v>12</v>
      </c>
      <c r="B23" s="31">
        <v>5</v>
      </c>
      <c r="C23" s="31">
        <v>4</v>
      </c>
      <c r="D23" s="31">
        <v>4</v>
      </c>
      <c r="E23" s="31">
        <v>4</v>
      </c>
      <c r="F23" s="31">
        <v>4</v>
      </c>
      <c r="G23" s="31">
        <v>4</v>
      </c>
      <c r="H23" s="31">
        <v>4</v>
      </c>
      <c r="I23" s="31">
        <v>4</v>
      </c>
      <c r="J23" s="31">
        <v>4</v>
      </c>
      <c r="K23" s="31">
        <v>4</v>
      </c>
      <c r="L23" s="31">
        <v>4</v>
      </c>
      <c r="M23" s="31">
        <v>3</v>
      </c>
      <c r="N23" s="31">
        <v>4</v>
      </c>
      <c r="O23" s="31"/>
      <c r="P23" s="31"/>
      <c r="Q23" s="31"/>
      <c r="R23" s="31"/>
      <c r="S23" s="31"/>
      <c r="T23" s="31"/>
      <c r="U23" s="31"/>
      <c r="V23" s="31">
        <f t="shared" si="1"/>
        <v>52</v>
      </c>
      <c r="W23" s="41">
        <f>V23/L4*20</f>
        <v>80</v>
      </c>
      <c r="X23" s="42">
        <f t="shared" si="0"/>
        <v>79.587585476806851</v>
      </c>
      <c r="Y23" s="12" t="s">
        <v>167</v>
      </c>
      <c r="Z23" s="12"/>
      <c r="AA23" s="13"/>
    </row>
    <row r="24" spans="1:27" x14ac:dyDescent="0.2">
      <c r="A24" s="28" t="s">
        <v>126</v>
      </c>
      <c r="B24" s="31">
        <f>SUM(B12:B23)</f>
        <v>52</v>
      </c>
      <c r="C24" s="31">
        <f t="shared" ref="C24:U24" si="2">SUM(C12:C23)</f>
        <v>42</v>
      </c>
      <c r="D24" s="31">
        <f t="shared" si="2"/>
        <v>41</v>
      </c>
      <c r="E24" s="31">
        <f t="shared" si="2"/>
        <v>48</v>
      </c>
      <c r="F24" s="31">
        <f t="shared" si="2"/>
        <v>48</v>
      </c>
      <c r="G24" s="31">
        <f>SUM(G12:G23)</f>
        <v>46</v>
      </c>
      <c r="H24" s="31">
        <f t="shared" si="2"/>
        <v>31</v>
      </c>
      <c r="I24" s="31">
        <f t="shared" si="2"/>
        <v>50</v>
      </c>
      <c r="J24" s="31">
        <f t="shared" si="2"/>
        <v>35</v>
      </c>
      <c r="K24" s="31">
        <f t="shared" si="2"/>
        <v>44</v>
      </c>
      <c r="L24" s="31">
        <f t="shared" si="2"/>
        <v>31</v>
      </c>
      <c r="M24" s="31">
        <f t="shared" si="2"/>
        <v>26</v>
      </c>
      <c r="N24" s="31">
        <f t="shared" si="2"/>
        <v>35</v>
      </c>
      <c r="O24" s="31">
        <f t="shared" si="2"/>
        <v>0</v>
      </c>
      <c r="P24" s="31">
        <f t="shared" si="2"/>
        <v>0</v>
      </c>
      <c r="Q24" s="31">
        <f t="shared" si="2"/>
        <v>0</v>
      </c>
      <c r="R24" s="31">
        <f t="shared" si="2"/>
        <v>0</v>
      </c>
      <c r="S24" s="31">
        <f t="shared" si="2"/>
        <v>0</v>
      </c>
      <c r="T24" s="31">
        <f t="shared" si="2"/>
        <v>0</v>
      </c>
      <c r="U24" s="31">
        <f t="shared" si="2"/>
        <v>0</v>
      </c>
      <c r="V24" s="31">
        <f>SUM(B24:U24)</f>
        <v>529</v>
      </c>
      <c r="W24" s="30"/>
    </row>
    <row r="25" spans="1:27" x14ac:dyDescent="0.2">
      <c r="A25" s="28" t="s">
        <v>127</v>
      </c>
      <c r="B25" s="32">
        <f t="shared" ref="B25:U25" si="3">B24*B24</f>
        <v>2704</v>
      </c>
      <c r="C25" s="32">
        <f t="shared" si="3"/>
        <v>1764</v>
      </c>
      <c r="D25" s="32">
        <f t="shared" si="3"/>
        <v>1681</v>
      </c>
      <c r="E25" s="32">
        <f t="shared" si="3"/>
        <v>2304</v>
      </c>
      <c r="F25" s="32">
        <f t="shared" si="3"/>
        <v>2304</v>
      </c>
      <c r="G25" s="32">
        <f t="shared" si="3"/>
        <v>2116</v>
      </c>
      <c r="H25" s="32">
        <f t="shared" si="3"/>
        <v>961</v>
      </c>
      <c r="I25" s="32">
        <f t="shared" si="3"/>
        <v>2500</v>
      </c>
      <c r="J25" s="32">
        <f t="shared" si="3"/>
        <v>1225</v>
      </c>
      <c r="K25" s="32">
        <f t="shared" si="3"/>
        <v>1936</v>
      </c>
      <c r="L25" s="32">
        <f t="shared" si="3"/>
        <v>961</v>
      </c>
      <c r="M25" s="32">
        <f t="shared" si="3"/>
        <v>676</v>
      </c>
      <c r="N25" s="32">
        <f t="shared" si="3"/>
        <v>1225</v>
      </c>
      <c r="O25" s="32">
        <f t="shared" si="3"/>
        <v>0</v>
      </c>
      <c r="P25" s="32">
        <f t="shared" si="3"/>
        <v>0</v>
      </c>
      <c r="Q25" s="32">
        <f t="shared" si="3"/>
        <v>0</v>
      </c>
      <c r="R25" s="32">
        <f t="shared" si="3"/>
        <v>0</v>
      </c>
      <c r="S25" s="32">
        <f t="shared" si="3"/>
        <v>0</v>
      </c>
      <c r="T25" s="32">
        <f t="shared" si="3"/>
        <v>0</v>
      </c>
      <c r="U25" s="32">
        <f t="shared" si="3"/>
        <v>0</v>
      </c>
      <c r="V25" s="32">
        <f>SUM(B25:U25)</f>
        <v>22357</v>
      </c>
      <c r="W25" t="s">
        <v>9</v>
      </c>
      <c r="X25" s="2"/>
    </row>
    <row r="39" spans="1:28" x14ac:dyDescent="0.2">
      <c r="A39" s="2" t="s">
        <v>23</v>
      </c>
    </row>
    <row r="40" spans="1:28" x14ac:dyDescent="0.2">
      <c r="A40" s="28" t="s">
        <v>1</v>
      </c>
      <c r="B40" s="31" t="s">
        <v>110</v>
      </c>
      <c r="C40" s="31" t="s">
        <v>111</v>
      </c>
      <c r="D40" s="31" t="s">
        <v>112</v>
      </c>
      <c r="E40" s="31" t="s">
        <v>113</v>
      </c>
      <c r="F40" s="31" t="s">
        <v>114</v>
      </c>
      <c r="G40" s="31" t="s">
        <v>115</v>
      </c>
      <c r="H40" s="31" t="s">
        <v>116</v>
      </c>
      <c r="I40" s="31" t="s">
        <v>117</v>
      </c>
      <c r="J40" s="31" t="s">
        <v>118</v>
      </c>
      <c r="K40" s="31" t="s">
        <v>119</v>
      </c>
      <c r="L40" s="31" t="s">
        <v>120</v>
      </c>
      <c r="M40" s="31" t="s">
        <v>121</v>
      </c>
      <c r="N40" s="31" t="s">
        <v>122</v>
      </c>
      <c r="O40" s="31" t="s">
        <v>123</v>
      </c>
      <c r="P40" s="31" t="s">
        <v>124</v>
      </c>
      <c r="Q40" s="31" t="s">
        <v>12</v>
      </c>
      <c r="R40" s="31" t="s">
        <v>14</v>
      </c>
      <c r="S40" s="31" t="s">
        <v>15</v>
      </c>
      <c r="T40" s="31" t="s">
        <v>16</v>
      </c>
      <c r="U40" s="31" t="s">
        <v>17</v>
      </c>
      <c r="V40" t="s">
        <v>22</v>
      </c>
      <c r="W40" t="s">
        <v>10</v>
      </c>
      <c r="X40" t="s">
        <v>11</v>
      </c>
      <c r="Y40" t="s">
        <v>122</v>
      </c>
      <c r="Z40" t="s">
        <v>12</v>
      </c>
      <c r="AA40" t="s">
        <v>19</v>
      </c>
      <c r="AB40" t="s">
        <v>3</v>
      </c>
    </row>
    <row r="41" spans="1:28" x14ac:dyDescent="0.2">
      <c r="A41" s="28">
        <v>1</v>
      </c>
      <c r="B41" s="31">
        <f t="shared" ref="B41:U41" si="4">B12*B12</f>
        <v>25</v>
      </c>
      <c r="C41" s="31">
        <f t="shared" si="4"/>
        <v>16</v>
      </c>
      <c r="D41" s="31">
        <f t="shared" si="4"/>
        <v>16</v>
      </c>
      <c r="E41" s="31">
        <f t="shared" si="4"/>
        <v>16</v>
      </c>
      <c r="F41" s="31">
        <f t="shared" si="4"/>
        <v>16</v>
      </c>
      <c r="G41" s="31">
        <f t="shared" si="4"/>
        <v>16</v>
      </c>
      <c r="H41" s="31">
        <f t="shared" si="4"/>
        <v>16</v>
      </c>
      <c r="I41" s="31">
        <f t="shared" si="4"/>
        <v>16</v>
      </c>
      <c r="J41" s="31">
        <f t="shared" si="4"/>
        <v>25</v>
      </c>
      <c r="K41" s="31">
        <f t="shared" si="4"/>
        <v>16</v>
      </c>
      <c r="L41" s="31">
        <f t="shared" si="4"/>
        <v>9</v>
      </c>
      <c r="M41" s="31">
        <f t="shared" si="4"/>
        <v>4</v>
      </c>
      <c r="N41" s="31">
        <f t="shared" si="4"/>
        <v>16</v>
      </c>
      <c r="O41" s="31">
        <f t="shared" si="4"/>
        <v>0</v>
      </c>
      <c r="P41" s="31">
        <f t="shared" si="4"/>
        <v>0</v>
      </c>
      <c r="Q41" s="31">
        <f t="shared" si="4"/>
        <v>0</v>
      </c>
      <c r="R41" s="31">
        <f t="shared" si="4"/>
        <v>0</v>
      </c>
      <c r="S41" s="31">
        <f t="shared" si="4"/>
        <v>0</v>
      </c>
      <c r="T41" s="31">
        <f t="shared" si="4"/>
        <v>0</v>
      </c>
      <c r="U41" s="31">
        <f t="shared" si="4"/>
        <v>0</v>
      </c>
      <c r="V41">
        <f t="shared" ref="V41:V52" si="5">SUM(B41:U41)</f>
        <v>207</v>
      </c>
      <c r="W41">
        <f t="shared" ref="W41:W52" si="6">V12*V12</f>
        <v>2601</v>
      </c>
      <c r="X41">
        <f>L4*(L4-1)</f>
        <v>156</v>
      </c>
      <c r="Y41">
        <f>L4*V41-W41</f>
        <v>90</v>
      </c>
      <c r="Z41">
        <f t="shared" ref="Z41:Z52" si="7">Y41/X41</f>
        <v>0.57692307692307687</v>
      </c>
      <c r="AA41">
        <f t="shared" ref="AA41:AA52" si="8">SQRT(Z41)</f>
        <v>0.75955452531274992</v>
      </c>
      <c r="AB41">
        <f t="shared" ref="AB41:AB52" si="9">AA41/4*100</f>
        <v>18.988863132818746</v>
      </c>
    </row>
    <row r="42" spans="1:28" x14ac:dyDescent="0.2">
      <c r="A42" s="28">
        <v>2</v>
      </c>
      <c r="B42" s="31">
        <f t="shared" ref="B42:U42" si="10">B13*B13</f>
        <v>16</v>
      </c>
      <c r="C42" s="31">
        <f t="shared" si="10"/>
        <v>16</v>
      </c>
      <c r="D42" s="31">
        <f t="shared" si="10"/>
        <v>16</v>
      </c>
      <c r="E42" s="31">
        <f t="shared" si="10"/>
        <v>25</v>
      </c>
      <c r="F42" s="31">
        <f t="shared" si="10"/>
        <v>25</v>
      </c>
      <c r="G42" s="31">
        <f t="shared" si="10"/>
        <v>16</v>
      </c>
      <c r="H42" s="31">
        <f t="shared" si="10"/>
        <v>16</v>
      </c>
      <c r="I42" s="31">
        <f t="shared" si="10"/>
        <v>25</v>
      </c>
      <c r="J42" s="31">
        <f t="shared" si="10"/>
        <v>9</v>
      </c>
      <c r="K42" s="31">
        <f t="shared" si="10"/>
        <v>16</v>
      </c>
      <c r="L42" s="31">
        <f t="shared" si="10"/>
        <v>16</v>
      </c>
      <c r="M42" s="31">
        <f t="shared" si="10"/>
        <v>16</v>
      </c>
      <c r="N42" s="31">
        <f t="shared" si="10"/>
        <v>16</v>
      </c>
      <c r="O42" s="31">
        <f t="shared" si="10"/>
        <v>0</v>
      </c>
      <c r="P42" s="31">
        <f t="shared" si="10"/>
        <v>0</v>
      </c>
      <c r="Q42" s="31">
        <f t="shared" si="10"/>
        <v>0</v>
      </c>
      <c r="R42" s="31">
        <f t="shared" si="10"/>
        <v>0</v>
      </c>
      <c r="S42" s="31">
        <f t="shared" si="10"/>
        <v>0</v>
      </c>
      <c r="T42" s="31">
        <f t="shared" si="10"/>
        <v>0</v>
      </c>
      <c r="U42" s="31">
        <f t="shared" si="10"/>
        <v>0</v>
      </c>
      <c r="V42">
        <f t="shared" si="5"/>
        <v>228</v>
      </c>
      <c r="W42">
        <f t="shared" si="6"/>
        <v>2916</v>
      </c>
      <c r="X42">
        <f>L4*(L4-1)</f>
        <v>156</v>
      </c>
      <c r="Y42">
        <f>L4*V42-W42</f>
        <v>48</v>
      </c>
      <c r="Z42">
        <f t="shared" si="7"/>
        <v>0.30769230769230771</v>
      </c>
      <c r="AA42">
        <f t="shared" si="8"/>
        <v>0.55470019622522915</v>
      </c>
      <c r="AB42">
        <f t="shared" si="9"/>
        <v>13.867504905630728</v>
      </c>
    </row>
    <row r="43" spans="1:28" x14ac:dyDescent="0.2">
      <c r="A43" s="28">
        <v>3</v>
      </c>
      <c r="B43" s="31">
        <f t="shared" ref="B43:U43" si="11">B14*B14</f>
        <v>16</v>
      </c>
      <c r="C43" s="31">
        <f t="shared" si="11"/>
        <v>16</v>
      </c>
      <c r="D43" s="31">
        <f t="shared" si="11"/>
        <v>9</v>
      </c>
      <c r="E43" s="31">
        <f t="shared" si="11"/>
        <v>4</v>
      </c>
      <c r="F43" s="31">
        <f t="shared" si="11"/>
        <v>16</v>
      </c>
      <c r="G43" s="31">
        <f t="shared" si="11"/>
        <v>9</v>
      </c>
      <c r="H43" s="31">
        <f t="shared" si="11"/>
        <v>4</v>
      </c>
      <c r="I43" s="31">
        <f t="shared" si="11"/>
        <v>16</v>
      </c>
      <c r="J43" s="31">
        <f t="shared" si="11"/>
        <v>4</v>
      </c>
      <c r="K43" s="31">
        <f t="shared" si="11"/>
        <v>9</v>
      </c>
      <c r="L43" s="31">
        <f t="shared" si="11"/>
        <v>4</v>
      </c>
      <c r="M43" s="31">
        <f t="shared" si="11"/>
        <v>4</v>
      </c>
      <c r="N43" s="31">
        <f t="shared" si="11"/>
        <v>4</v>
      </c>
      <c r="O43" s="31">
        <f t="shared" si="11"/>
        <v>0</v>
      </c>
      <c r="P43" s="31">
        <f t="shared" si="11"/>
        <v>0</v>
      </c>
      <c r="Q43" s="31">
        <f t="shared" si="11"/>
        <v>0</v>
      </c>
      <c r="R43" s="31">
        <f t="shared" si="11"/>
        <v>0</v>
      </c>
      <c r="S43" s="31">
        <f t="shared" si="11"/>
        <v>0</v>
      </c>
      <c r="T43" s="31">
        <f t="shared" si="11"/>
        <v>0</v>
      </c>
      <c r="U43" s="31">
        <f t="shared" si="11"/>
        <v>0</v>
      </c>
      <c r="V43">
        <f t="shared" si="5"/>
        <v>115</v>
      </c>
      <c r="W43">
        <f t="shared" si="6"/>
        <v>1369</v>
      </c>
      <c r="X43">
        <f>L4*(L4-1)</f>
        <v>156</v>
      </c>
      <c r="Y43">
        <f>L4*V43-W43</f>
        <v>126</v>
      </c>
      <c r="Z43">
        <f t="shared" si="7"/>
        <v>0.80769230769230771</v>
      </c>
      <c r="AA43">
        <f t="shared" si="8"/>
        <v>0.89871703427291716</v>
      </c>
      <c r="AB43">
        <f t="shared" si="9"/>
        <v>22.46792585682293</v>
      </c>
    </row>
    <row r="44" spans="1:28" x14ac:dyDescent="0.2">
      <c r="A44" s="28">
        <v>4</v>
      </c>
      <c r="B44" s="31">
        <f t="shared" ref="B44:U44" si="12">B15*B15</f>
        <v>25</v>
      </c>
      <c r="C44" s="31">
        <f t="shared" si="12"/>
        <v>4</v>
      </c>
      <c r="D44" s="31">
        <f t="shared" si="12"/>
        <v>4</v>
      </c>
      <c r="E44" s="31">
        <f t="shared" si="12"/>
        <v>16</v>
      </c>
      <c r="F44" s="31">
        <f t="shared" si="12"/>
        <v>16</v>
      </c>
      <c r="G44" s="31">
        <f t="shared" si="12"/>
        <v>16</v>
      </c>
      <c r="H44" s="31">
        <f t="shared" si="12"/>
        <v>1</v>
      </c>
      <c r="I44" s="31">
        <f t="shared" si="12"/>
        <v>16</v>
      </c>
      <c r="J44" s="31">
        <f t="shared" si="12"/>
        <v>1</v>
      </c>
      <c r="K44" s="31">
        <f t="shared" si="12"/>
        <v>9</v>
      </c>
      <c r="L44" s="31">
        <f t="shared" si="12"/>
        <v>4</v>
      </c>
      <c r="M44" s="31">
        <f t="shared" si="12"/>
        <v>4</v>
      </c>
      <c r="N44" s="31">
        <f t="shared" si="12"/>
        <v>1</v>
      </c>
      <c r="O44" s="31">
        <f t="shared" si="12"/>
        <v>0</v>
      </c>
      <c r="P44" s="31">
        <f t="shared" si="12"/>
        <v>0</v>
      </c>
      <c r="Q44" s="31">
        <f t="shared" si="12"/>
        <v>0</v>
      </c>
      <c r="R44" s="31">
        <f t="shared" si="12"/>
        <v>0</v>
      </c>
      <c r="S44" s="31">
        <f t="shared" si="12"/>
        <v>0</v>
      </c>
      <c r="T44" s="31">
        <f t="shared" si="12"/>
        <v>0</v>
      </c>
      <c r="U44" s="31">
        <f t="shared" si="12"/>
        <v>0</v>
      </c>
      <c r="V44">
        <f t="shared" si="5"/>
        <v>117</v>
      </c>
      <c r="W44">
        <f t="shared" si="6"/>
        <v>1225</v>
      </c>
      <c r="X44">
        <f>L4*(L4-1)</f>
        <v>156</v>
      </c>
      <c r="Y44">
        <f>L4*V44-W44</f>
        <v>296</v>
      </c>
      <c r="Z44">
        <f t="shared" si="7"/>
        <v>1.8974358974358974</v>
      </c>
      <c r="AA44">
        <f t="shared" si="8"/>
        <v>1.377474463442389</v>
      </c>
      <c r="AB44">
        <f t="shared" si="9"/>
        <v>34.436861586059727</v>
      </c>
    </row>
    <row r="45" spans="1:28" x14ac:dyDescent="0.2">
      <c r="A45" s="28">
        <v>5</v>
      </c>
      <c r="B45" s="31">
        <f t="shared" ref="B45:U45" si="13">B16*B16</f>
        <v>9</v>
      </c>
      <c r="C45" s="31">
        <f t="shared" si="13"/>
        <v>4</v>
      </c>
      <c r="D45" s="31">
        <f t="shared" si="13"/>
        <v>4</v>
      </c>
      <c r="E45" s="31">
        <f t="shared" si="13"/>
        <v>16</v>
      </c>
      <c r="F45" s="31">
        <f t="shared" si="13"/>
        <v>16</v>
      </c>
      <c r="G45" s="31">
        <f t="shared" si="13"/>
        <v>9</v>
      </c>
      <c r="H45" s="31">
        <f t="shared" si="13"/>
        <v>1</v>
      </c>
      <c r="I45" s="31">
        <f t="shared" si="13"/>
        <v>16</v>
      </c>
      <c r="J45" s="31">
        <f t="shared" si="13"/>
        <v>9</v>
      </c>
      <c r="K45" s="31">
        <f t="shared" si="13"/>
        <v>9</v>
      </c>
      <c r="L45" s="31">
        <f t="shared" si="13"/>
        <v>4</v>
      </c>
      <c r="M45" s="31">
        <f t="shared" si="13"/>
        <v>1</v>
      </c>
      <c r="N45" s="31">
        <f t="shared" si="13"/>
        <v>1</v>
      </c>
      <c r="O45" s="31">
        <f t="shared" si="13"/>
        <v>0</v>
      </c>
      <c r="P45" s="31">
        <f t="shared" si="13"/>
        <v>0</v>
      </c>
      <c r="Q45" s="31">
        <f t="shared" si="13"/>
        <v>0</v>
      </c>
      <c r="R45" s="31">
        <f t="shared" si="13"/>
        <v>0</v>
      </c>
      <c r="S45" s="31">
        <f t="shared" si="13"/>
        <v>0</v>
      </c>
      <c r="T45" s="31">
        <f t="shared" si="13"/>
        <v>0</v>
      </c>
      <c r="U45" s="31">
        <f t="shared" si="13"/>
        <v>0</v>
      </c>
      <c r="V45">
        <f t="shared" si="5"/>
        <v>99</v>
      </c>
      <c r="W45">
        <f t="shared" si="6"/>
        <v>1089</v>
      </c>
      <c r="X45">
        <f>L4*(L4-1)</f>
        <v>156</v>
      </c>
      <c r="Y45">
        <f>L4*V45-W45</f>
        <v>198</v>
      </c>
      <c r="Z45">
        <f t="shared" si="7"/>
        <v>1.2692307692307692</v>
      </c>
      <c r="AA45">
        <f t="shared" si="8"/>
        <v>1.1266014242982161</v>
      </c>
      <c r="AB45">
        <f t="shared" si="9"/>
        <v>28.165035607455401</v>
      </c>
    </row>
    <row r="46" spans="1:28" x14ac:dyDescent="0.2">
      <c r="A46" s="28">
        <v>6</v>
      </c>
      <c r="B46" s="31">
        <f t="shared" ref="B46:U46" si="14">B17*B17</f>
        <v>25</v>
      </c>
      <c r="C46" s="31">
        <f t="shared" si="14"/>
        <v>16</v>
      </c>
      <c r="D46" s="31">
        <f t="shared" si="14"/>
        <v>16</v>
      </c>
      <c r="E46" s="31">
        <f t="shared" si="14"/>
        <v>16</v>
      </c>
      <c r="F46" s="31">
        <f t="shared" si="14"/>
        <v>9</v>
      </c>
      <c r="G46" s="31">
        <f t="shared" si="14"/>
        <v>9</v>
      </c>
      <c r="H46" s="31">
        <f t="shared" si="14"/>
        <v>4</v>
      </c>
      <c r="I46" s="31">
        <f t="shared" si="14"/>
        <v>16</v>
      </c>
      <c r="J46" s="31">
        <f t="shared" si="14"/>
        <v>4</v>
      </c>
      <c r="K46" s="31">
        <f t="shared" si="14"/>
        <v>16</v>
      </c>
      <c r="L46" s="31">
        <f t="shared" si="14"/>
        <v>4</v>
      </c>
      <c r="M46" s="31">
        <f t="shared" si="14"/>
        <v>4</v>
      </c>
      <c r="N46" s="31">
        <f t="shared" si="14"/>
        <v>4</v>
      </c>
      <c r="O46" s="31">
        <f t="shared" si="14"/>
        <v>0</v>
      </c>
      <c r="P46" s="31">
        <f t="shared" si="14"/>
        <v>0</v>
      </c>
      <c r="Q46" s="31">
        <f t="shared" si="14"/>
        <v>0</v>
      </c>
      <c r="R46" s="31">
        <f t="shared" si="14"/>
        <v>0</v>
      </c>
      <c r="S46" s="31">
        <f t="shared" si="14"/>
        <v>0</v>
      </c>
      <c r="T46" s="31">
        <f t="shared" si="14"/>
        <v>0</v>
      </c>
      <c r="U46" s="31">
        <f t="shared" si="14"/>
        <v>0</v>
      </c>
      <c r="V46">
        <f t="shared" si="5"/>
        <v>143</v>
      </c>
      <c r="W46">
        <f t="shared" si="6"/>
        <v>1681</v>
      </c>
      <c r="X46">
        <f>L4*(L4-1)</f>
        <v>156</v>
      </c>
      <c r="Y46">
        <f>L4*V46-W46</f>
        <v>178</v>
      </c>
      <c r="Z46">
        <f t="shared" si="7"/>
        <v>1.141025641025641</v>
      </c>
      <c r="AA46">
        <f t="shared" si="8"/>
        <v>1.0681880176381127</v>
      </c>
      <c r="AB46">
        <f t="shared" si="9"/>
        <v>26.704700440952816</v>
      </c>
    </row>
    <row r="47" spans="1:28" x14ac:dyDescent="0.2">
      <c r="A47" s="28">
        <v>7</v>
      </c>
      <c r="B47" s="31">
        <f t="shared" ref="B47:U47" si="15">B18*B18</f>
        <v>9</v>
      </c>
      <c r="C47" s="31">
        <f t="shared" si="15"/>
        <v>16</v>
      </c>
      <c r="D47" s="31">
        <f t="shared" si="15"/>
        <v>16</v>
      </c>
      <c r="E47" s="31">
        <f t="shared" si="15"/>
        <v>25</v>
      </c>
      <c r="F47" s="31">
        <f t="shared" si="15"/>
        <v>16</v>
      </c>
      <c r="G47" s="31">
        <f t="shared" si="15"/>
        <v>9</v>
      </c>
      <c r="H47" s="31">
        <f t="shared" si="15"/>
        <v>4</v>
      </c>
      <c r="I47" s="31">
        <f t="shared" si="15"/>
        <v>25</v>
      </c>
      <c r="J47" s="31">
        <f t="shared" si="15"/>
        <v>1</v>
      </c>
      <c r="K47" s="31">
        <f t="shared" si="15"/>
        <v>16</v>
      </c>
      <c r="L47" s="31">
        <f t="shared" si="15"/>
        <v>4</v>
      </c>
      <c r="M47" s="31">
        <f t="shared" si="15"/>
        <v>4</v>
      </c>
      <c r="N47" s="31">
        <f t="shared" si="15"/>
        <v>4</v>
      </c>
      <c r="O47" s="31">
        <f t="shared" si="15"/>
        <v>0</v>
      </c>
      <c r="P47" s="31">
        <f t="shared" si="15"/>
        <v>0</v>
      </c>
      <c r="Q47" s="31">
        <f t="shared" si="15"/>
        <v>0</v>
      </c>
      <c r="R47" s="31">
        <f t="shared" si="15"/>
        <v>0</v>
      </c>
      <c r="S47" s="31">
        <f t="shared" si="15"/>
        <v>0</v>
      </c>
      <c r="T47" s="31">
        <f t="shared" si="15"/>
        <v>0</v>
      </c>
      <c r="U47" s="31">
        <f t="shared" si="15"/>
        <v>0</v>
      </c>
      <c r="V47">
        <f t="shared" si="5"/>
        <v>149</v>
      </c>
      <c r="W47">
        <f t="shared" si="6"/>
        <v>1681</v>
      </c>
      <c r="X47">
        <f>L4*(L4-1)</f>
        <v>156</v>
      </c>
      <c r="Y47">
        <f>L4*V47-W47</f>
        <v>256</v>
      </c>
      <c r="Z47">
        <f t="shared" si="7"/>
        <v>1.641025641025641</v>
      </c>
      <c r="AA47">
        <f t="shared" si="8"/>
        <v>1.281025230440697</v>
      </c>
      <c r="AB47">
        <f t="shared" si="9"/>
        <v>32.025630761017425</v>
      </c>
    </row>
    <row r="48" spans="1:28" x14ac:dyDescent="0.2">
      <c r="A48" s="28">
        <v>8</v>
      </c>
      <c r="B48" s="31">
        <f t="shared" ref="B48:U48" si="16">B19*B19</f>
        <v>25</v>
      </c>
      <c r="C48" s="31">
        <f t="shared" si="16"/>
        <v>4</v>
      </c>
      <c r="D48" s="31">
        <f t="shared" si="16"/>
        <v>4</v>
      </c>
      <c r="E48" s="31">
        <f t="shared" si="16"/>
        <v>16</v>
      </c>
      <c r="F48" s="31">
        <f t="shared" si="16"/>
        <v>16</v>
      </c>
      <c r="G48" s="31">
        <f t="shared" si="16"/>
        <v>16</v>
      </c>
      <c r="H48" s="31">
        <f t="shared" si="16"/>
        <v>4</v>
      </c>
      <c r="I48" s="31">
        <f t="shared" si="16"/>
        <v>16</v>
      </c>
      <c r="J48" s="31">
        <f t="shared" si="16"/>
        <v>9</v>
      </c>
      <c r="K48" s="31">
        <f t="shared" si="16"/>
        <v>16</v>
      </c>
      <c r="L48" s="31">
        <f t="shared" si="16"/>
        <v>16</v>
      </c>
      <c r="M48" s="31">
        <f t="shared" si="16"/>
        <v>1</v>
      </c>
      <c r="N48" s="31">
        <f t="shared" si="16"/>
        <v>9</v>
      </c>
      <c r="O48" s="31">
        <f t="shared" si="16"/>
        <v>0</v>
      </c>
      <c r="P48" s="31">
        <f t="shared" si="16"/>
        <v>0</v>
      </c>
      <c r="Q48" s="31">
        <f t="shared" si="16"/>
        <v>0</v>
      </c>
      <c r="R48" s="31">
        <f t="shared" si="16"/>
        <v>0</v>
      </c>
      <c r="S48" s="31">
        <f t="shared" si="16"/>
        <v>0</v>
      </c>
      <c r="T48" s="31">
        <f t="shared" si="16"/>
        <v>0</v>
      </c>
      <c r="U48" s="31">
        <f t="shared" si="16"/>
        <v>0</v>
      </c>
      <c r="V48">
        <f t="shared" si="5"/>
        <v>152</v>
      </c>
      <c r="W48">
        <f t="shared" si="6"/>
        <v>1764</v>
      </c>
      <c r="X48">
        <f>L4*(L4-1)</f>
        <v>156</v>
      </c>
      <c r="Y48">
        <f>L4*V48-W48</f>
        <v>212</v>
      </c>
      <c r="Z48">
        <f t="shared" si="7"/>
        <v>1.358974358974359</v>
      </c>
      <c r="AA48">
        <f t="shared" si="8"/>
        <v>1.1657505560686467</v>
      </c>
      <c r="AB48">
        <f t="shared" si="9"/>
        <v>29.14376390171617</v>
      </c>
    </row>
    <row r="49" spans="1:28" x14ac:dyDescent="0.2">
      <c r="A49" s="28">
        <v>9</v>
      </c>
      <c r="B49" s="31">
        <f t="shared" ref="B49:U49" si="17">B20*B20</f>
        <v>9</v>
      </c>
      <c r="C49" s="31">
        <f t="shared" si="17"/>
        <v>16</v>
      </c>
      <c r="D49" s="31">
        <f t="shared" si="17"/>
        <v>16</v>
      </c>
      <c r="E49" s="31">
        <f t="shared" si="17"/>
        <v>16</v>
      </c>
      <c r="F49" s="31">
        <f t="shared" si="17"/>
        <v>16</v>
      </c>
      <c r="G49" s="31">
        <f t="shared" si="17"/>
        <v>16</v>
      </c>
      <c r="H49" s="31">
        <f t="shared" si="17"/>
        <v>9</v>
      </c>
      <c r="I49" s="31">
        <f t="shared" si="17"/>
        <v>16</v>
      </c>
      <c r="J49" s="31">
        <f t="shared" si="17"/>
        <v>25</v>
      </c>
      <c r="K49" s="31">
        <f t="shared" si="17"/>
        <v>16</v>
      </c>
      <c r="L49" s="31">
        <f t="shared" si="17"/>
        <v>4</v>
      </c>
      <c r="M49" s="31">
        <f t="shared" si="17"/>
        <v>4</v>
      </c>
      <c r="N49" s="31">
        <f t="shared" si="17"/>
        <v>16</v>
      </c>
      <c r="O49" s="31">
        <f t="shared" si="17"/>
        <v>0</v>
      </c>
      <c r="P49" s="31">
        <f t="shared" si="17"/>
        <v>0</v>
      </c>
      <c r="Q49" s="31">
        <f t="shared" si="17"/>
        <v>0</v>
      </c>
      <c r="R49" s="31">
        <f t="shared" si="17"/>
        <v>0</v>
      </c>
      <c r="S49" s="31">
        <f t="shared" si="17"/>
        <v>0</v>
      </c>
      <c r="T49" s="31">
        <f t="shared" si="17"/>
        <v>0</v>
      </c>
      <c r="U49" s="31">
        <f t="shared" si="17"/>
        <v>0</v>
      </c>
      <c r="V49">
        <f t="shared" si="5"/>
        <v>179</v>
      </c>
      <c r="W49">
        <f t="shared" si="6"/>
        <v>2209</v>
      </c>
      <c r="X49">
        <f>L4*(L4-1)</f>
        <v>156</v>
      </c>
      <c r="Y49">
        <f>L4*V49-W49</f>
        <v>118</v>
      </c>
      <c r="Z49">
        <f t="shared" si="7"/>
        <v>0.75641025641025639</v>
      </c>
      <c r="AA49">
        <f t="shared" si="8"/>
        <v>0.86971849262290402</v>
      </c>
      <c r="AB49">
        <f t="shared" si="9"/>
        <v>21.742962315572601</v>
      </c>
    </row>
    <row r="50" spans="1:28" x14ac:dyDescent="0.2">
      <c r="A50" s="28">
        <v>10</v>
      </c>
      <c r="B50" s="31">
        <f t="shared" ref="B50:U50" si="18">B21*B21</f>
        <v>25</v>
      </c>
      <c r="C50" s="31">
        <f t="shared" si="18"/>
        <v>16</v>
      </c>
      <c r="D50" s="31">
        <f t="shared" si="18"/>
        <v>16</v>
      </c>
      <c r="E50" s="31">
        <f t="shared" si="18"/>
        <v>16</v>
      </c>
      <c r="F50" s="31">
        <f t="shared" si="18"/>
        <v>16</v>
      </c>
      <c r="G50" s="31">
        <f t="shared" si="18"/>
        <v>25</v>
      </c>
      <c r="H50" s="31">
        <f t="shared" si="18"/>
        <v>9</v>
      </c>
      <c r="I50" s="31">
        <f t="shared" si="18"/>
        <v>16</v>
      </c>
      <c r="J50" s="31">
        <f t="shared" si="18"/>
        <v>25</v>
      </c>
      <c r="K50" s="31">
        <f t="shared" si="18"/>
        <v>16</v>
      </c>
      <c r="L50" s="31">
        <f t="shared" si="18"/>
        <v>4</v>
      </c>
      <c r="M50" s="31">
        <f t="shared" si="18"/>
        <v>4</v>
      </c>
      <c r="N50" s="31">
        <f t="shared" si="18"/>
        <v>16</v>
      </c>
      <c r="O50" s="31">
        <f t="shared" si="18"/>
        <v>0</v>
      </c>
      <c r="P50" s="31">
        <f t="shared" si="18"/>
        <v>0</v>
      </c>
      <c r="Q50" s="31">
        <f t="shared" si="18"/>
        <v>0</v>
      </c>
      <c r="R50" s="31">
        <f t="shared" si="18"/>
        <v>0</v>
      </c>
      <c r="S50" s="31">
        <f t="shared" si="18"/>
        <v>0</v>
      </c>
      <c r="T50" s="31">
        <f t="shared" si="18"/>
        <v>0</v>
      </c>
      <c r="U50" s="31">
        <f t="shared" si="18"/>
        <v>0</v>
      </c>
      <c r="V50">
        <f t="shared" si="5"/>
        <v>204</v>
      </c>
      <c r="W50">
        <f t="shared" si="6"/>
        <v>2500</v>
      </c>
      <c r="X50">
        <f>L4*(L4-1)</f>
        <v>156</v>
      </c>
      <c r="Y50">
        <f>L4*V50-W50</f>
        <v>152</v>
      </c>
      <c r="Z50">
        <f t="shared" si="7"/>
        <v>0.97435897435897434</v>
      </c>
      <c r="AA50">
        <f t="shared" si="8"/>
        <v>0.98709623358564913</v>
      </c>
      <c r="AB50">
        <f t="shared" si="9"/>
        <v>24.677405839641228</v>
      </c>
    </row>
    <row r="51" spans="1:28" x14ac:dyDescent="0.2">
      <c r="A51" s="28">
        <v>11</v>
      </c>
      <c r="B51" s="31">
        <f t="shared" ref="B51:U51" si="19">B22*B22</f>
        <v>25</v>
      </c>
      <c r="C51" s="31">
        <f t="shared" si="19"/>
        <v>16</v>
      </c>
      <c r="D51" s="31">
        <f t="shared" si="19"/>
        <v>16</v>
      </c>
      <c r="E51" s="31">
        <f t="shared" si="19"/>
        <v>16</v>
      </c>
      <c r="F51" s="31">
        <f t="shared" si="19"/>
        <v>16</v>
      </c>
      <c r="G51" s="31">
        <f t="shared" si="19"/>
        <v>25</v>
      </c>
      <c r="H51" s="31">
        <f t="shared" si="19"/>
        <v>9</v>
      </c>
      <c r="I51" s="31">
        <f t="shared" si="19"/>
        <v>16</v>
      </c>
      <c r="J51" s="31">
        <f t="shared" si="19"/>
        <v>1</v>
      </c>
      <c r="K51" s="31">
        <f t="shared" si="19"/>
        <v>9</v>
      </c>
      <c r="L51" s="31">
        <f t="shared" si="19"/>
        <v>4</v>
      </c>
      <c r="M51" s="31">
        <f t="shared" si="19"/>
        <v>9</v>
      </c>
      <c r="N51" s="31">
        <f t="shared" si="19"/>
        <v>16</v>
      </c>
      <c r="O51" s="31">
        <f t="shared" si="19"/>
        <v>0</v>
      </c>
      <c r="P51" s="31">
        <f t="shared" si="19"/>
        <v>0</v>
      </c>
      <c r="Q51" s="31">
        <f t="shared" si="19"/>
        <v>0</v>
      </c>
      <c r="R51" s="31">
        <f t="shared" si="19"/>
        <v>0</v>
      </c>
      <c r="S51" s="31">
        <f t="shared" si="19"/>
        <v>0</v>
      </c>
      <c r="T51" s="31">
        <f t="shared" si="19"/>
        <v>0</v>
      </c>
      <c r="U51" s="31">
        <f t="shared" si="19"/>
        <v>0</v>
      </c>
      <c r="V51">
        <f t="shared" si="5"/>
        <v>178</v>
      </c>
      <c r="W51">
        <f t="shared" si="6"/>
        <v>2116</v>
      </c>
      <c r="X51">
        <f>L4*(L4-1)</f>
        <v>156</v>
      </c>
      <c r="Y51">
        <f>L4*V51-W51</f>
        <v>198</v>
      </c>
      <c r="Z51">
        <f t="shared" si="7"/>
        <v>1.2692307692307692</v>
      </c>
      <c r="AA51">
        <f t="shared" si="8"/>
        <v>1.1266014242982161</v>
      </c>
      <c r="AB51">
        <f t="shared" si="9"/>
        <v>28.165035607455401</v>
      </c>
    </row>
    <row r="52" spans="1:28" x14ac:dyDescent="0.2">
      <c r="A52" s="28">
        <v>12</v>
      </c>
      <c r="B52" s="31">
        <f t="shared" ref="B52:U52" si="20">B23*B23</f>
        <v>25</v>
      </c>
      <c r="C52" s="31">
        <f t="shared" si="20"/>
        <v>16</v>
      </c>
      <c r="D52" s="31">
        <f t="shared" si="20"/>
        <v>16</v>
      </c>
      <c r="E52" s="31">
        <f t="shared" si="20"/>
        <v>16</v>
      </c>
      <c r="F52" s="31">
        <f t="shared" si="20"/>
        <v>16</v>
      </c>
      <c r="G52" s="31">
        <f t="shared" si="20"/>
        <v>16</v>
      </c>
      <c r="H52" s="31">
        <f t="shared" si="20"/>
        <v>16</v>
      </c>
      <c r="I52" s="31">
        <f t="shared" si="20"/>
        <v>16</v>
      </c>
      <c r="J52" s="31">
        <f t="shared" si="20"/>
        <v>16</v>
      </c>
      <c r="K52" s="31">
        <f t="shared" si="20"/>
        <v>16</v>
      </c>
      <c r="L52" s="31">
        <f t="shared" si="20"/>
        <v>16</v>
      </c>
      <c r="M52" s="31">
        <f t="shared" si="20"/>
        <v>9</v>
      </c>
      <c r="N52" s="31">
        <f t="shared" si="20"/>
        <v>16</v>
      </c>
      <c r="O52" s="31">
        <f t="shared" si="20"/>
        <v>0</v>
      </c>
      <c r="P52" s="31">
        <f t="shared" si="20"/>
        <v>0</v>
      </c>
      <c r="Q52" s="31">
        <f t="shared" si="20"/>
        <v>0</v>
      </c>
      <c r="R52" s="31">
        <f t="shared" si="20"/>
        <v>0</v>
      </c>
      <c r="S52" s="31">
        <f t="shared" si="20"/>
        <v>0</v>
      </c>
      <c r="T52" s="31">
        <f t="shared" si="20"/>
        <v>0</v>
      </c>
      <c r="U52" s="31">
        <f t="shared" si="20"/>
        <v>0</v>
      </c>
      <c r="V52">
        <f t="shared" si="5"/>
        <v>210</v>
      </c>
      <c r="W52">
        <f t="shared" si="6"/>
        <v>2704</v>
      </c>
      <c r="X52">
        <f>L4*(L4-1)</f>
        <v>156</v>
      </c>
      <c r="Y52">
        <f>L4*V52-W52</f>
        <v>26</v>
      </c>
      <c r="Z52">
        <f t="shared" si="7"/>
        <v>0.16666666666666666</v>
      </c>
      <c r="AA52">
        <f t="shared" si="8"/>
        <v>0.40824829046386302</v>
      </c>
      <c r="AB52">
        <f t="shared" si="9"/>
        <v>10.206207261596575</v>
      </c>
    </row>
    <row r="53" spans="1:28" x14ac:dyDescent="0.2">
      <c r="A53" s="28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</sheetData>
  <pageMargins left="0.78740157499999996" right="0.78740157499999996" top="0.984251969" bottom="0.984251969" header="0.5" footer="0.5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21"/>
  <dimension ref="A1:AB51"/>
  <sheetViews>
    <sheetView zoomScale="85" zoomScaleNormal="85" workbookViewId="0">
      <selection activeCell="L5" sqref="L5"/>
    </sheetView>
  </sheetViews>
  <sheetFormatPr baseColWidth="10" defaultColWidth="8.85546875" defaultRowHeight="12.75" x14ac:dyDescent="0.2"/>
  <cols>
    <col min="1" max="1" width="6.28515625" customWidth="1"/>
    <col min="2" max="21" width="3.7109375" customWidth="1"/>
    <col min="22" max="22" width="7.85546875" customWidth="1"/>
    <col min="23" max="23" width="10.7109375" bestFit="1" customWidth="1"/>
    <col min="24" max="24" width="8.85546875" customWidth="1"/>
    <col min="25" max="25" width="6.85546875" customWidth="1"/>
    <col min="26" max="26" width="16.42578125" customWidth="1"/>
  </cols>
  <sheetData>
    <row r="1" spans="1:27" ht="18" x14ac:dyDescent="0.25">
      <c r="A1" s="1" t="s">
        <v>7</v>
      </c>
    </row>
    <row r="2" spans="1:27" x14ac:dyDescent="0.2">
      <c r="L2" s="26" t="s">
        <v>57</v>
      </c>
      <c r="M2" s="4"/>
      <c r="N2" s="4"/>
      <c r="O2" s="4"/>
      <c r="P2" s="4"/>
      <c r="Q2" s="4"/>
      <c r="R2" s="4"/>
      <c r="S2" s="4"/>
      <c r="T2" s="4"/>
      <c r="U2" s="5"/>
      <c r="W2" s="26" t="s">
        <v>66</v>
      </c>
      <c r="X2" s="4"/>
      <c r="Y2" s="4"/>
      <c r="Z2" s="4"/>
      <c r="AA2" s="5"/>
    </row>
    <row r="3" spans="1:27" ht="13.5" thickBot="1" x14ac:dyDescent="0.25">
      <c r="B3" s="3" t="s">
        <v>30</v>
      </c>
      <c r="C3" s="8"/>
      <c r="D3" s="8"/>
      <c r="G3" s="8"/>
      <c r="H3" s="8"/>
      <c r="I3" s="8"/>
      <c r="J3" s="8"/>
      <c r="K3" s="8"/>
      <c r="L3" s="47" t="s">
        <v>58</v>
      </c>
      <c r="M3" s="8"/>
      <c r="N3" s="8"/>
      <c r="O3" s="8"/>
      <c r="P3" s="22">
        <f>V24*V24</f>
        <v>284089</v>
      </c>
      <c r="Q3" s="43" t="s">
        <v>10</v>
      </c>
      <c r="S3" s="8"/>
      <c r="T3" s="8"/>
      <c r="U3" s="9"/>
      <c r="W3" s="35" t="s">
        <v>103</v>
      </c>
      <c r="X3" s="8" t="s">
        <v>67</v>
      </c>
      <c r="Y3" s="8"/>
      <c r="Z3" s="8"/>
      <c r="AA3" s="9"/>
    </row>
    <row r="4" spans="1:27" x14ac:dyDescent="0.2">
      <c r="A4" s="23">
        <f>(P8/L6)*100</f>
        <v>68.333333333333329</v>
      </c>
      <c r="B4" s="14" t="s">
        <v>46</v>
      </c>
      <c r="C4" s="15"/>
      <c r="D4" s="15"/>
      <c r="E4" s="15"/>
      <c r="F4" s="16"/>
      <c r="G4" s="16"/>
      <c r="H4" s="16"/>
      <c r="I4" s="16"/>
      <c r="J4" s="17"/>
      <c r="K4" s="8"/>
      <c r="L4" s="6">
        <v>13</v>
      </c>
      <c r="M4" s="8"/>
      <c r="N4" s="8"/>
      <c r="O4" s="8"/>
      <c r="P4" s="7">
        <f>L4*(L4-1)</f>
        <v>156</v>
      </c>
      <c r="Q4" s="43" t="s">
        <v>11</v>
      </c>
      <c r="S4" s="8"/>
      <c r="T4" s="8"/>
      <c r="U4" s="9"/>
      <c r="W4" s="35" t="s">
        <v>104</v>
      </c>
      <c r="X4" s="8" t="s">
        <v>43</v>
      </c>
      <c r="Y4" s="8"/>
      <c r="Z4" s="8"/>
      <c r="AA4" s="9"/>
    </row>
    <row r="5" spans="1:27" ht="13.5" thickBot="1" x14ac:dyDescent="0.25">
      <c r="A5" s="24">
        <f>100-(P9*2)</f>
        <v>61.887714627743769</v>
      </c>
      <c r="B5" s="18" t="s">
        <v>47</v>
      </c>
      <c r="C5" s="19"/>
      <c r="D5" s="19"/>
      <c r="E5" s="19"/>
      <c r="F5" s="20"/>
      <c r="G5" s="20"/>
      <c r="H5" s="20"/>
      <c r="I5" s="20"/>
      <c r="J5" s="21"/>
      <c r="K5" s="8"/>
      <c r="L5" s="47" t="s">
        <v>80</v>
      </c>
      <c r="M5" s="8"/>
      <c r="N5" s="8"/>
      <c r="O5" s="8"/>
      <c r="P5" s="22">
        <f>(L4*V25)-P3</f>
        <v>13052</v>
      </c>
      <c r="Q5" s="43" t="s">
        <v>122</v>
      </c>
      <c r="S5" s="8"/>
      <c r="T5" s="8"/>
      <c r="U5" s="9"/>
      <c r="W5" s="35" t="s">
        <v>105</v>
      </c>
      <c r="X5" s="8" t="s">
        <v>68</v>
      </c>
      <c r="Y5" s="8"/>
      <c r="Z5" s="8"/>
      <c r="AA5" s="9"/>
    </row>
    <row r="6" spans="1:27" x14ac:dyDescent="0.2">
      <c r="K6" s="8"/>
      <c r="L6" s="6">
        <f>A23*5</f>
        <v>60</v>
      </c>
      <c r="M6" s="8"/>
      <c r="N6" s="10"/>
      <c r="O6" s="8"/>
      <c r="P6" s="7">
        <f>P5/P4</f>
        <v>83.666666666666671</v>
      </c>
      <c r="Q6" s="43" t="s">
        <v>12</v>
      </c>
      <c r="S6" s="8"/>
      <c r="T6" s="8"/>
      <c r="U6" s="9"/>
      <c r="W6" s="35" t="s">
        <v>106</v>
      </c>
      <c r="X6" s="8" t="s">
        <v>43</v>
      </c>
      <c r="Y6" s="8"/>
      <c r="Z6" s="8"/>
      <c r="AA6" s="9"/>
    </row>
    <row r="7" spans="1:27" x14ac:dyDescent="0.2">
      <c r="C7" s="8"/>
      <c r="D7" s="8"/>
      <c r="G7" s="8"/>
      <c r="H7" s="8"/>
      <c r="I7" s="8"/>
      <c r="J7" s="8"/>
      <c r="K7" s="8"/>
      <c r="L7" s="47" t="s">
        <v>60</v>
      </c>
      <c r="M7" s="8"/>
      <c r="N7" s="10"/>
      <c r="O7" s="8"/>
      <c r="P7" s="7">
        <f>SQRT(P6)</f>
        <v>9.1469484893414954</v>
      </c>
      <c r="Q7" s="43" t="s">
        <v>13</v>
      </c>
      <c r="S7" s="8"/>
      <c r="T7" s="8"/>
      <c r="U7" s="9"/>
      <c r="W7" s="46" t="s">
        <v>107</v>
      </c>
      <c r="X7" s="12" t="s">
        <v>69</v>
      </c>
      <c r="Y7" s="12"/>
      <c r="Z7" s="12"/>
      <c r="AA7" s="13"/>
    </row>
    <row r="8" spans="1:27" x14ac:dyDescent="0.2">
      <c r="C8" s="8"/>
      <c r="D8" s="8"/>
      <c r="G8" s="8"/>
      <c r="H8" s="8"/>
      <c r="I8" s="8"/>
      <c r="J8" s="8"/>
      <c r="L8" s="6">
        <v>12</v>
      </c>
      <c r="M8" s="8"/>
      <c r="N8" s="8"/>
      <c r="O8" s="8"/>
      <c r="P8" s="8">
        <f>V24/L4</f>
        <v>41</v>
      </c>
      <c r="Q8" s="43" t="s">
        <v>48</v>
      </c>
      <c r="R8" s="8"/>
      <c r="S8" s="8"/>
      <c r="T8" s="8"/>
      <c r="U8" s="9"/>
    </row>
    <row r="9" spans="1:27" x14ac:dyDescent="0.2">
      <c r="L9" s="11"/>
      <c r="M9" s="12"/>
      <c r="N9" s="12"/>
      <c r="O9" s="12"/>
      <c r="P9" s="12">
        <f>P7/((L8*5)-(L8*1))*100</f>
        <v>19.056142686128116</v>
      </c>
      <c r="Q9" s="44" t="s">
        <v>81</v>
      </c>
      <c r="R9" s="12"/>
      <c r="S9" s="12"/>
      <c r="T9" s="12"/>
      <c r="U9" s="13"/>
    </row>
    <row r="10" spans="1:27" x14ac:dyDescent="0.2">
      <c r="A10" s="3"/>
      <c r="B10" s="3" t="s">
        <v>18</v>
      </c>
      <c r="C10" s="3"/>
      <c r="D10" s="3"/>
      <c r="E10" s="3"/>
      <c r="F10" s="3">
        <v>5</v>
      </c>
      <c r="G10" s="3"/>
      <c r="H10" s="3"/>
      <c r="I10" s="3"/>
      <c r="J10" s="3"/>
      <c r="K10" s="3">
        <v>10</v>
      </c>
      <c r="L10" s="3"/>
      <c r="M10" s="3"/>
      <c r="N10" s="3"/>
      <c r="O10" s="3"/>
      <c r="P10" s="3">
        <v>15</v>
      </c>
      <c r="Q10" s="3"/>
      <c r="R10" s="3"/>
      <c r="S10" s="3"/>
      <c r="T10" s="3"/>
      <c r="U10" s="3">
        <v>20</v>
      </c>
      <c r="W10" s="26" t="s">
        <v>82</v>
      </c>
      <c r="X10" s="38"/>
      <c r="Y10" s="4"/>
      <c r="Z10" s="4"/>
      <c r="AA10" s="5"/>
    </row>
    <row r="11" spans="1:27" x14ac:dyDescent="0.2">
      <c r="A11" s="28" t="s">
        <v>1</v>
      </c>
      <c r="B11" s="71" t="s">
        <v>110</v>
      </c>
      <c r="C11" s="71" t="s">
        <v>111</v>
      </c>
      <c r="D11" s="71" t="s">
        <v>112</v>
      </c>
      <c r="E11" s="71" t="s">
        <v>113</v>
      </c>
      <c r="F11" s="71" t="s">
        <v>114</v>
      </c>
      <c r="G11" s="71" t="s">
        <v>115</v>
      </c>
      <c r="H11" s="71" t="s">
        <v>116</v>
      </c>
      <c r="I11" s="71" t="s">
        <v>117</v>
      </c>
      <c r="J11" s="73" t="s">
        <v>118</v>
      </c>
      <c r="K11" s="73" t="s">
        <v>119</v>
      </c>
      <c r="L11" s="73" t="s">
        <v>120</v>
      </c>
      <c r="M11" s="73" t="s">
        <v>121</v>
      </c>
      <c r="N11" s="73" t="s">
        <v>122</v>
      </c>
      <c r="O11" s="28" t="s">
        <v>123</v>
      </c>
      <c r="P11" s="28" t="s">
        <v>124</v>
      </c>
      <c r="Q11" s="28" t="s">
        <v>12</v>
      </c>
      <c r="R11" s="28" t="s">
        <v>14</v>
      </c>
      <c r="S11" s="28" t="s">
        <v>15</v>
      </c>
      <c r="T11" s="28" t="s">
        <v>16</v>
      </c>
      <c r="U11" s="28" t="s">
        <v>17</v>
      </c>
      <c r="V11" s="31" t="s">
        <v>65</v>
      </c>
      <c r="W11" s="27" t="s">
        <v>31</v>
      </c>
      <c r="X11" s="10" t="s">
        <v>32</v>
      </c>
      <c r="Y11" s="37" t="s">
        <v>64</v>
      </c>
      <c r="Z11" s="8"/>
      <c r="AA11" s="9"/>
    </row>
    <row r="12" spans="1:27" x14ac:dyDescent="0.2">
      <c r="A12" s="28">
        <v>1</v>
      </c>
      <c r="B12" s="72">
        <v>4</v>
      </c>
      <c r="C12" s="72">
        <v>4</v>
      </c>
      <c r="D12" s="72">
        <v>5</v>
      </c>
      <c r="E12" s="72">
        <v>4</v>
      </c>
      <c r="F12" s="72">
        <v>4</v>
      </c>
      <c r="G12" s="72">
        <v>4</v>
      </c>
      <c r="H12" s="72">
        <v>5</v>
      </c>
      <c r="I12" s="72">
        <v>4</v>
      </c>
      <c r="J12" s="72">
        <v>4</v>
      </c>
      <c r="K12" s="31">
        <v>1</v>
      </c>
      <c r="L12" s="31">
        <v>3</v>
      </c>
      <c r="M12" s="31">
        <v>4</v>
      </c>
      <c r="N12" s="31">
        <v>4</v>
      </c>
      <c r="O12" s="31"/>
      <c r="P12" s="31"/>
      <c r="Q12" s="31"/>
      <c r="R12" s="31"/>
      <c r="S12" s="31"/>
      <c r="T12" s="31"/>
      <c r="U12" s="31"/>
      <c r="V12" s="31">
        <f t="shared" ref="V12:V25" si="0">SUM(B12:U12)</f>
        <v>50</v>
      </c>
      <c r="W12" s="39">
        <f>V12/L4*20</f>
        <v>76.92307692307692</v>
      </c>
      <c r="X12" s="40">
        <f t="shared" ref="X12:X23" si="1">100-(AB36*2)</f>
        <v>50.645188320717544</v>
      </c>
      <c r="Y12" s="8" t="s">
        <v>168</v>
      </c>
      <c r="Z12" s="8"/>
      <c r="AA12" s="9"/>
    </row>
    <row r="13" spans="1:27" x14ac:dyDescent="0.2">
      <c r="A13" s="28">
        <v>2</v>
      </c>
      <c r="B13" s="31">
        <v>3</v>
      </c>
      <c r="C13" s="31">
        <v>5</v>
      </c>
      <c r="D13" s="31">
        <v>1</v>
      </c>
      <c r="E13" s="31">
        <v>3</v>
      </c>
      <c r="F13" s="31">
        <v>4</v>
      </c>
      <c r="G13" s="31">
        <v>3</v>
      </c>
      <c r="H13" s="31">
        <v>4</v>
      </c>
      <c r="I13" s="31">
        <v>5</v>
      </c>
      <c r="J13" s="31">
        <v>4</v>
      </c>
      <c r="K13" s="31">
        <v>1</v>
      </c>
      <c r="L13" s="31">
        <v>1</v>
      </c>
      <c r="M13" s="31">
        <v>2</v>
      </c>
      <c r="N13" s="31">
        <v>2</v>
      </c>
      <c r="O13" s="31"/>
      <c r="P13" s="31"/>
      <c r="Q13" s="31"/>
      <c r="R13" s="31"/>
      <c r="S13" s="31"/>
      <c r="T13" s="31"/>
      <c r="U13" s="31"/>
      <c r="V13" s="31">
        <f t="shared" si="0"/>
        <v>38</v>
      </c>
      <c r="W13" s="39">
        <f>V13/L4*20</f>
        <v>58.46153846153846</v>
      </c>
      <c r="X13" s="40">
        <f t="shared" si="1"/>
        <v>27.942330787710787</v>
      </c>
      <c r="Y13" s="8" t="s">
        <v>169</v>
      </c>
      <c r="Z13" s="8"/>
      <c r="AA13" s="9"/>
    </row>
    <row r="14" spans="1:27" x14ac:dyDescent="0.2">
      <c r="A14" s="28">
        <v>3</v>
      </c>
      <c r="B14" s="31">
        <v>4</v>
      </c>
      <c r="C14" s="31">
        <v>4</v>
      </c>
      <c r="D14" s="31">
        <v>3</v>
      </c>
      <c r="E14" s="31">
        <v>4</v>
      </c>
      <c r="F14" s="31">
        <v>4</v>
      </c>
      <c r="G14" s="31">
        <v>4</v>
      </c>
      <c r="H14" s="31">
        <v>2</v>
      </c>
      <c r="I14" s="31">
        <v>4</v>
      </c>
      <c r="J14" s="31">
        <v>4</v>
      </c>
      <c r="K14" s="31">
        <v>4</v>
      </c>
      <c r="L14" s="31">
        <v>1</v>
      </c>
      <c r="M14" s="31">
        <v>2</v>
      </c>
      <c r="N14" s="31">
        <v>4</v>
      </c>
      <c r="O14" s="31"/>
      <c r="P14" s="31"/>
      <c r="Q14" s="31"/>
      <c r="R14" s="31"/>
      <c r="S14" s="31"/>
      <c r="T14" s="31"/>
      <c r="U14" s="31"/>
      <c r="V14" s="31">
        <f t="shared" si="0"/>
        <v>44</v>
      </c>
      <c r="W14" s="39">
        <f>V14/L4*20</f>
        <v>67.692307692307693</v>
      </c>
      <c r="X14" s="40">
        <f t="shared" si="1"/>
        <v>47.80460772866082</v>
      </c>
      <c r="Y14" s="8" t="s">
        <v>170</v>
      </c>
      <c r="Z14" s="8"/>
      <c r="AA14" s="9"/>
    </row>
    <row r="15" spans="1:27" x14ac:dyDescent="0.2">
      <c r="A15" s="28">
        <v>4</v>
      </c>
      <c r="B15" s="31">
        <v>4</v>
      </c>
      <c r="C15" s="31">
        <v>3</v>
      </c>
      <c r="D15" s="31">
        <v>1</v>
      </c>
      <c r="E15" s="31">
        <v>4</v>
      </c>
      <c r="F15" s="31">
        <v>4</v>
      </c>
      <c r="G15" s="31">
        <v>4</v>
      </c>
      <c r="H15" s="31">
        <v>4</v>
      </c>
      <c r="I15" s="31">
        <v>5</v>
      </c>
      <c r="J15" s="31">
        <v>3</v>
      </c>
      <c r="K15" s="31">
        <v>4</v>
      </c>
      <c r="L15" s="31">
        <v>1</v>
      </c>
      <c r="M15" s="31">
        <v>2</v>
      </c>
      <c r="N15" s="31">
        <v>2</v>
      </c>
      <c r="O15" s="31"/>
      <c r="P15" s="31"/>
      <c r="Q15" s="31"/>
      <c r="R15" s="31"/>
      <c r="S15" s="31"/>
      <c r="T15" s="31"/>
      <c r="U15" s="31"/>
      <c r="V15" s="31">
        <f t="shared" si="0"/>
        <v>41</v>
      </c>
      <c r="W15" s="39">
        <f>V15/L4*20</f>
        <v>63.076923076923073</v>
      </c>
      <c r="X15" s="40">
        <f t="shared" si="1"/>
        <v>35.948738477965151</v>
      </c>
      <c r="Y15" s="8" t="s">
        <v>171</v>
      </c>
      <c r="Z15" s="8"/>
      <c r="AA15" s="9"/>
    </row>
    <row r="16" spans="1:27" x14ac:dyDescent="0.2">
      <c r="A16" s="28">
        <v>5</v>
      </c>
      <c r="B16" s="31">
        <v>4</v>
      </c>
      <c r="C16" s="31">
        <v>5</v>
      </c>
      <c r="D16" s="31">
        <v>3</v>
      </c>
      <c r="E16" s="31">
        <v>3</v>
      </c>
      <c r="F16" s="31">
        <v>4</v>
      </c>
      <c r="G16" s="31">
        <v>4</v>
      </c>
      <c r="H16" s="31">
        <v>5</v>
      </c>
      <c r="I16" s="31">
        <v>5</v>
      </c>
      <c r="J16" s="31">
        <v>3</v>
      </c>
      <c r="K16" s="31">
        <v>2</v>
      </c>
      <c r="L16" s="31">
        <v>1</v>
      </c>
      <c r="M16" s="31">
        <v>2</v>
      </c>
      <c r="N16" s="31">
        <v>2</v>
      </c>
      <c r="O16" s="31"/>
      <c r="P16" s="31"/>
      <c r="Q16" s="31"/>
      <c r="R16" s="31"/>
      <c r="S16" s="31"/>
      <c r="T16" s="31"/>
      <c r="U16" s="31"/>
      <c r="V16" s="31">
        <f t="shared" si="0"/>
        <v>43</v>
      </c>
      <c r="W16" s="39">
        <f>V16/L4*20</f>
        <v>66.153846153846146</v>
      </c>
      <c r="X16" s="40">
        <f t="shared" si="1"/>
        <v>34.220648551972815</v>
      </c>
      <c r="Y16" s="8" t="s">
        <v>172</v>
      </c>
      <c r="Z16" s="8"/>
      <c r="AA16" s="9"/>
    </row>
    <row r="17" spans="1:27" x14ac:dyDescent="0.2">
      <c r="A17" s="28">
        <v>6</v>
      </c>
      <c r="B17" s="31">
        <v>4</v>
      </c>
      <c r="C17" s="31">
        <v>4</v>
      </c>
      <c r="D17" s="31">
        <v>4</v>
      </c>
      <c r="E17" s="31">
        <v>3</v>
      </c>
      <c r="F17" s="31">
        <v>4</v>
      </c>
      <c r="G17" s="31">
        <v>5</v>
      </c>
      <c r="H17" s="31">
        <v>4</v>
      </c>
      <c r="I17" s="31">
        <v>5</v>
      </c>
      <c r="J17" s="31">
        <v>3</v>
      </c>
      <c r="K17" s="31">
        <v>4</v>
      </c>
      <c r="L17" s="31">
        <v>3</v>
      </c>
      <c r="M17" s="31">
        <v>2</v>
      </c>
      <c r="N17" s="31">
        <v>2</v>
      </c>
      <c r="O17" s="31"/>
      <c r="P17" s="31"/>
      <c r="Q17" s="31"/>
      <c r="R17" s="31"/>
      <c r="S17" s="31"/>
      <c r="T17" s="31"/>
      <c r="U17" s="31"/>
      <c r="V17" s="31">
        <f t="shared" si="0"/>
        <v>47</v>
      </c>
      <c r="W17" s="39">
        <f>V17/L4*20</f>
        <v>72.307692307692307</v>
      </c>
      <c r="X17" s="40">
        <f t="shared" si="1"/>
        <v>51.961553858473856</v>
      </c>
      <c r="Y17" s="8" t="s">
        <v>173</v>
      </c>
      <c r="Z17" s="8"/>
      <c r="AA17" s="9"/>
    </row>
    <row r="18" spans="1:27" x14ac:dyDescent="0.2">
      <c r="A18" s="28">
        <v>7</v>
      </c>
      <c r="B18" s="31">
        <v>4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4</v>
      </c>
      <c r="I18" s="31">
        <v>5</v>
      </c>
      <c r="J18" s="31">
        <v>3</v>
      </c>
      <c r="K18" s="31">
        <v>4</v>
      </c>
      <c r="L18" s="31">
        <v>4</v>
      </c>
      <c r="M18" s="31">
        <v>3</v>
      </c>
      <c r="N18" s="31">
        <v>4</v>
      </c>
      <c r="O18" s="31"/>
      <c r="P18" s="31"/>
      <c r="Q18" s="31"/>
      <c r="R18" s="31"/>
      <c r="S18" s="31"/>
      <c r="T18" s="31"/>
      <c r="U18" s="31"/>
      <c r="V18" s="31">
        <f t="shared" si="0"/>
        <v>51</v>
      </c>
      <c r="W18" s="39">
        <f>V18/L4*20</f>
        <v>78.461538461538453</v>
      </c>
      <c r="X18" s="40">
        <f t="shared" si="1"/>
        <v>75.322594160358776</v>
      </c>
      <c r="Y18" s="8" t="s">
        <v>174</v>
      </c>
      <c r="Z18" s="8"/>
      <c r="AA18" s="9"/>
    </row>
    <row r="19" spans="1:27" x14ac:dyDescent="0.2">
      <c r="A19" s="28">
        <v>8</v>
      </c>
      <c r="B19" s="31">
        <v>4</v>
      </c>
      <c r="C19" s="31">
        <v>4</v>
      </c>
      <c r="D19" s="31">
        <v>4</v>
      </c>
      <c r="E19" s="31">
        <v>4</v>
      </c>
      <c r="F19" s="31">
        <v>4</v>
      </c>
      <c r="G19" s="31">
        <v>5</v>
      </c>
      <c r="H19" s="31">
        <v>4</v>
      </c>
      <c r="I19" s="31">
        <v>5</v>
      </c>
      <c r="J19" s="31">
        <v>3</v>
      </c>
      <c r="K19" s="31">
        <v>3</v>
      </c>
      <c r="L19" s="31">
        <v>1</v>
      </c>
      <c r="M19" s="31">
        <v>2</v>
      </c>
      <c r="N19" s="31">
        <v>2</v>
      </c>
      <c r="O19" s="31"/>
      <c r="P19" s="31"/>
      <c r="Q19" s="31"/>
      <c r="R19" s="31"/>
      <c r="S19" s="31"/>
      <c r="T19" s="31"/>
      <c r="U19" s="31"/>
      <c r="V19" s="31">
        <f t="shared" si="0"/>
        <v>45</v>
      </c>
      <c r="W19" s="39">
        <f>V19/L4*20</f>
        <v>69.230769230769226</v>
      </c>
      <c r="X19" s="40">
        <f t="shared" si="1"/>
        <v>40.085531048472191</v>
      </c>
      <c r="Y19" s="8" t="s">
        <v>175</v>
      </c>
      <c r="Z19" s="8"/>
      <c r="AA19" s="9"/>
    </row>
    <row r="20" spans="1:27" x14ac:dyDescent="0.2">
      <c r="A20" s="28">
        <v>9</v>
      </c>
      <c r="B20" s="31">
        <v>4</v>
      </c>
      <c r="C20" s="31">
        <v>4</v>
      </c>
      <c r="D20" s="31">
        <v>3</v>
      </c>
      <c r="E20" s="31">
        <v>3</v>
      </c>
      <c r="F20" s="31">
        <v>3</v>
      </c>
      <c r="G20" s="31">
        <v>4</v>
      </c>
      <c r="H20" s="31">
        <v>5</v>
      </c>
      <c r="I20" s="31">
        <v>4</v>
      </c>
      <c r="J20" s="31">
        <v>3</v>
      </c>
      <c r="K20" s="31">
        <v>2</v>
      </c>
      <c r="L20" s="31">
        <v>1</v>
      </c>
      <c r="M20" s="31">
        <v>2</v>
      </c>
      <c r="N20" s="31">
        <v>2</v>
      </c>
      <c r="O20" s="31"/>
      <c r="P20" s="31"/>
      <c r="Q20" s="31"/>
      <c r="R20" s="31"/>
      <c r="S20" s="31"/>
      <c r="T20" s="31"/>
      <c r="U20" s="31"/>
      <c r="V20" s="31">
        <f t="shared" si="0"/>
        <v>40</v>
      </c>
      <c r="W20" s="39">
        <f>V20/L4*20</f>
        <v>61.53846153846154</v>
      </c>
      <c r="X20" s="40">
        <f t="shared" si="1"/>
        <v>44.24182249235222</v>
      </c>
      <c r="Y20" s="8" t="s">
        <v>176</v>
      </c>
      <c r="Z20" s="8"/>
      <c r="AA20" s="9"/>
    </row>
    <row r="21" spans="1:27" x14ac:dyDescent="0.2">
      <c r="A21" s="28">
        <v>10</v>
      </c>
      <c r="B21" s="31">
        <v>4</v>
      </c>
      <c r="C21" s="31">
        <v>4</v>
      </c>
      <c r="D21" s="31">
        <v>3</v>
      </c>
      <c r="E21" s="31">
        <v>4</v>
      </c>
      <c r="F21" s="31">
        <v>4</v>
      </c>
      <c r="G21" s="31">
        <v>4</v>
      </c>
      <c r="H21" s="31">
        <v>4</v>
      </c>
      <c r="I21" s="31">
        <v>5</v>
      </c>
      <c r="J21" s="31">
        <v>2</v>
      </c>
      <c r="K21" s="31">
        <v>4</v>
      </c>
      <c r="L21" s="31">
        <v>5</v>
      </c>
      <c r="M21" s="31">
        <v>2</v>
      </c>
      <c r="N21" s="31">
        <v>4</v>
      </c>
      <c r="O21" s="31"/>
      <c r="P21" s="31"/>
      <c r="Q21" s="31"/>
      <c r="R21" s="31"/>
      <c r="S21" s="31"/>
      <c r="T21" s="31"/>
      <c r="U21" s="31"/>
      <c r="V21" s="31">
        <f t="shared" si="0"/>
        <v>49</v>
      </c>
      <c r="W21" s="39">
        <f>V21/L4*20</f>
        <v>75.384615384615387</v>
      </c>
      <c r="X21" s="40">
        <f t="shared" si="1"/>
        <v>53.659565200185085</v>
      </c>
      <c r="Y21" s="8" t="s">
        <v>177</v>
      </c>
      <c r="Z21" s="8"/>
      <c r="AA21" s="9"/>
    </row>
    <row r="22" spans="1:27" x14ac:dyDescent="0.2">
      <c r="A22" s="28">
        <v>11</v>
      </c>
      <c r="B22" s="31">
        <v>4</v>
      </c>
      <c r="C22" s="31">
        <v>4</v>
      </c>
      <c r="D22" s="31">
        <v>3</v>
      </c>
      <c r="E22" s="31">
        <v>3</v>
      </c>
      <c r="F22" s="31">
        <v>2</v>
      </c>
      <c r="G22" s="31">
        <v>4</v>
      </c>
      <c r="H22" s="31">
        <v>3</v>
      </c>
      <c r="I22" s="31">
        <v>5</v>
      </c>
      <c r="J22" s="31">
        <v>2</v>
      </c>
      <c r="K22" s="31">
        <v>2</v>
      </c>
      <c r="L22" s="31">
        <v>4</v>
      </c>
      <c r="M22" s="31">
        <v>2</v>
      </c>
      <c r="N22" s="31">
        <v>4</v>
      </c>
      <c r="O22" s="31"/>
      <c r="P22" s="31"/>
      <c r="Q22" s="31"/>
      <c r="R22" s="31"/>
      <c r="S22" s="31"/>
      <c r="T22" s="31"/>
      <c r="U22" s="31"/>
      <c r="V22" s="31">
        <f t="shared" si="0"/>
        <v>42</v>
      </c>
      <c r="W22" s="39">
        <f>V22/L4*20</f>
        <v>64.615384615384613</v>
      </c>
      <c r="X22" s="40">
        <f t="shared" si="1"/>
        <v>49.363031645816669</v>
      </c>
      <c r="Y22" s="8" t="s">
        <v>178</v>
      </c>
      <c r="Z22" s="8"/>
      <c r="AA22" s="9"/>
    </row>
    <row r="23" spans="1:27" x14ac:dyDescent="0.2">
      <c r="A23" s="28">
        <v>12</v>
      </c>
      <c r="B23" s="31">
        <v>5</v>
      </c>
      <c r="C23" s="31">
        <v>4</v>
      </c>
      <c r="D23" s="31">
        <v>4</v>
      </c>
      <c r="E23" s="31">
        <v>5</v>
      </c>
      <c r="F23" s="31">
        <v>2</v>
      </c>
      <c r="G23" s="31">
        <v>4</v>
      </c>
      <c r="H23" s="31">
        <v>3</v>
      </c>
      <c r="I23" s="31">
        <v>4</v>
      </c>
      <c r="J23" s="31">
        <v>4</v>
      </c>
      <c r="K23" s="31">
        <v>4</v>
      </c>
      <c r="L23" s="31">
        <v>1</v>
      </c>
      <c r="M23" s="31">
        <v>1</v>
      </c>
      <c r="N23" s="31">
        <v>2</v>
      </c>
      <c r="O23" s="31"/>
      <c r="P23" s="31"/>
      <c r="Q23" s="31"/>
      <c r="R23" s="31"/>
      <c r="S23" s="31"/>
      <c r="T23" s="31"/>
      <c r="U23" s="31"/>
      <c r="V23" s="31">
        <f t="shared" si="0"/>
        <v>43</v>
      </c>
      <c r="W23" s="41">
        <f>V23/L4*20</f>
        <v>66.153846153846146</v>
      </c>
      <c r="X23" s="42">
        <f t="shared" si="1"/>
        <v>31.126276827880545</v>
      </c>
      <c r="Y23" s="12" t="s">
        <v>179</v>
      </c>
      <c r="Z23" s="12"/>
      <c r="AA23" s="13"/>
    </row>
    <row r="24" spans="1:27" x14ac:dyDescent="0.2">
      <c r="A24" s="28" t="s">
        <v>126</v>
      </c>
      <c r="B24" s="31">
        <f t="shared" ref="B24:U24" si="2">SUM(B12:B23)</f>
        <v>48</v>
      </c>
      <c r="C24" s="31">
        <f t="shared" si="2"/>
        <v>49</v>
      </c>
      <c r="D24" s="31">
        <f t="shared" si="2"/>
        <v>38</v>
      </c>
      <c r="E24" s="31">
        <f t="shared" si="2"/>
        <v>44</v>
      </c>
      <c r="F24" s="31">
        <f t="shared" si="2"/>
        <v>43</v>
      </c>
      <c r="G24" s="31">
        <f t="shared" si="2"/>
        <v>49</v>
      </c>
      <c r="H24" s="31">
        <f t="shared" si="2"/>
        <v>47</v>
      </c>
      <c r="I24" s="31">
        <f t="shared" si="2"/>
        <v>56</v>
      </c>
      <c r="J24" s="31">
        <f t="shared" si="2"/>
        <v>38</v>
      </c>
      <c r="K24" s="31">
        <f t="shared" si="2"/>
        <v>35</v>
      </c>
      <c r="L24" s="31">
        <f t="shared" si="2"/>
        <v>26</v>
      </c>
      <c r="M24" s="31">
        <f t="shared" si="2"/>
        <v>26</v>
      </c>
      <c r="N24" s="31">
        <f t="shared" si="2"/>
        <v>34</v>
      </c>
      <c r="O24" s="31">
        <f t="shared" si="2"/>
        <v>0</v>
      </c>
      <c r="P24" s="31">
        <f t="shared" si="2"/>
        <v>0</v>
      </c>
      <c r="Q24" s="31">
        <f t="shared" si="2"/>
        <v>0</v>
      </c>
      <c r="R24" s="31">
        <f t="shared" si="2"/>
        <v>0</v>
      </c>
      <c r="S24" s="31">
        <f t="shared" si="2"/>
        <v>0</v>
      </c>
      <c r="T24" s="31">
        <f t="shared" si="2"/>
        <v>0</v>
      </c>
      <c r="U24" s="31">
        <f t="shared" si="2"/>
        <v>0</v>
      </c>
      <c r="V24" s="31">
        <f t="shared" si="0"/>
        <v>533</v>
      </c>
      <c r="W24" s="29"/>
      <c r="X24" s="8"/>
    </row>
    <row r="25" spans="1:27" x14ac:dyDescent="0.2">
      <c r="A25" s="28" t="s">
        <v>127</v>
      </c>
      <c r="B25" s="32">
        <f t="shared" ref="B25:U25" si="3">B24*B24</f>
        <v>2304</v>
      </c>
      <c r="C25" s="32">
        <f t="shared" si="3"/>
        <v>2401</v>
      </c>
      <c r="D25" s="32">
        <f t="shared" si="3"/>
        <v>1444</v>
      </c>
      <c r="E25" s="32">
        <f t="shared" si="3"/>
        <v>1936</v>
      </c>
      <c r="F25" s="32">
        <f t="shared" si="3"/>
        <v>1849</v>
      </c>
      <c r="G25" s="32">
        <f t="shared" si="3"/>
        <v>2401</v>
      </c>
      <c r="H25" s="32">
        <f t="shared" si="3"/>
        <v>2209</v>
      </c>
      <c r="I25" s="32">
        <f t="shared" si="3"/>
        <v>3136</v>
      </c>
      <c r="J25" s="32">
        <f t="shared" si="3"/>
        <v>1444</v>
      </c>
      <c r="K25" s="32">
        <f t="shared" si="3"/>
        <v>1225</v>
      </c>
      <c r="L25" s="32">
        <f t="shared" si="3"/>
        <v>676</v>
      </c>
      <c r="M25" s="32">
        <f t="shared" si="3"/>
        <v>676</v>
      </c>
      <c r="N25" s="32">
        <f t="shared" si="3"/>
        <v>1156</v>
      </c>
      <c r="O25" s="32">
        <f t="shared" si="3"/>
        <v>0</v>
      </c>
      <c r="P25" s="32">
        <f t="shared" si="3"/>
        <v>0</v>
      </c>
      <c r="Q25" s="32">
        <f t="shared" si="3"/>
        <v>0</v>
      </c>
      <c r="R25" s="32">
        <f t="shared" si="3"/>
        <v>0</v>
      </c>
      <c r="S25" s="32">
        <f t="shared" si="3"/>
        <v>0</v>
      </c>
      <c r="T25" s="32">
        <f t="shared" si="3"/>
        <v>0</v>
      </c>
      <c r="U25" s="32">
        <f t="shared" si="3"/>
        <v>0</v>
      </c>
      <c r="V25" s="32">
        <f t="shared" si="0"/>
        <v>22857</v>
      </c>
      <c r="W25" t="s">
        <v>9</v>
      </c>
      <c r="X25" s="2"/>
    </row>
    <row r="34" spans="1:28" x14ac:dyDescent="0.2">
      <c r="A34" s="2" t="s">
        <v>2</v>
      </c>
    </row>
    <row r="35" spans="1:28" x14ac:dyDescent="0.2">
      <c r="A35" s="28" t="s">
        <v>1</v>
      </c>
      <c r="B35" s="31" t="s">
        <v>110</v>
      </c>
      <c r="C35" s="31" t="s">
        <v>111</v>
      </c>
      <c r="D35" s="31" t="s">
        <v>112</v>
      </c>
      <c r="E35" s="31" t="s">
        <v>113</v>
      </c>
      <c r="F35" s="31" t="s">
        <v>114</v>
      </c>
      <c r="G35" s="31" t="s">
        <v>115</v>
      </c>
      <c r="H35" s="31" t="s">
        <v>116</v>
      </c>
      <c r="I35" s="31" t="s">
        <v>117</v>
      </c>
      <c r="J35" s="31" t="s">
        <v>118</v>
      </c>
      <c r="K35" s="31" t="s">
        <v>119</v>
      </c>
      <c r="L35" s="31" t="s">
        <v>120</v>
      </c>
      <c r="M35" s="31" t="s">
        <v>121</v>
      </c>
      <c r="N35" s="31" t="s">
        <v>122</v>
      </c>
      <c r="O35" s="31" t="s">
        <v>123</v>
      </c>
      <c r="P35" s="31" t="s">
        <v>124</v>
      </c>
      <c r="Q35" s="31" t="s">
        <v>12</v>
      </c>
      <c r="R35" s="31" t="s">
        <v>14</v>
      </c>
      <c r="S35" s="31" t="s">
        <v>15</v>
      </c>
      <c r="T35" s="31" t="s">
        <v>16</v>
      </c>
      <c r="U35" s="31" t="s">
        <v>17</v>
      </c>
      <c r="V35" t="s">
        <v>22</v>
      </c>
      <c r="W35" t="s">
        <v>10</v>
      </c>
      <c r="X35" t="s">
        <v>11</v>
      </c>
      <c r="Y35" t="s">
        <v>122</v>
      </c>
      <c r="Z35" t="s">
        <v>12</v>
      </c>
      <c r="AA35" t="s">
        <v>19</v>
      </c>
      <c r="AB35" t="s">
        <v>3</v>
      </c>
    </row>
    <row r="36" spans="1:28" x14ac:dyDescent="0.2">
      <c r="A36" s="28">
        <v>1</v>
      </c>
      <c r="B36" s="31">
        <f t="shared" ref="B36:U36" si="4">B12*B12</f>
        <v>16</v>
      </c>
      <c r="C36" s="31">
        <f t="shared" si="4"/>
        <v>16</v>
      </c>
      <c r="D36" s="31">
        <f t="shared" si="4"/>
        <v>25</v>
      </c>
      <c r="E36" s="31">
        <f t="shared" si="4"/>
        <v>16</v>
      </c>
      <c r="F36" s="31">
        <f t="shared" si="4"/>
        <v>16</v>
      </c>
      <c r="G36" s="31">
        <f t="shared" si="4"/>
        <v>16</v>
      </c>
      <c r="H36" s="31">
        <f t="shared" si="4"/>
        <v>25</v>
      </c>
      <c r="I36" s="31">
        <f t="shared" si="4"/>
        <v>16</v>
      </c>
      <c r="J36" s="31">
        <f t="shared" si="4"/>
        <v>16</v>
      </c>
      <c r="K36" s="31">
        <f t="shared" si="4"/>
        <v>1</v>
      </c>
      <c r="L36" s="31">
        <f t="shared" si="4"/>
        <v>9</v>
      </c>
      <c r="M36" s="31">
        <f t="shared" si="4"/>
        <v>16</v>
      </c>
      <c r="N36" s="31">
        <f t="shared" si="4"/>
        <v>16</v>
      </c>
      <c r="O36" s="31">
        <f t="shared" si="4"/>
        <v>0</v>
      </c>
      <c r="P36" s="31">
        <f t="shared" si="4"/>
        <v>0</v>
      </c>
      <c r="Q36" s="31">
        <f t="shared" si="4"/>
        <v>0</v>
      </c>
      <c r="R36" s="31">
        <f t="shared" si="4"/>
        <v>0</v>
      </c>
      <c r="S36" s="31">
        <f t="shared" si="4"/>
        <v>0</v>
      </c>
      <c r="T36" s="31">
        <f t="shared" si="4"/>
        <v>0</v>
      </c>
      <c r="U36" s="31">
        <f t="shared" si="4"/>
        <v>0</v>
      </c>
      <c r="V36">
        <f t="shared" ref="V36:V47" si="5">SUM(B36:U36)</f>
        <v>204</v>
      </c>
      <c r="W36">
        <f t="shared" ref="W36:W47" si="6">V12*V12</f>
        <v>2500</v>
      </c>
      <c r="X36">
        <f>L4*(L4-1)</f>
        <v>156</v>
      </c>
      <c r="Y36">
        <f>L4*V36-W36</f>
        <v>152</v>
      </c>
      <c r="Z36">
        <f t="shared" ref="Z36:Z47" si="7">Y36/X36</f>
        <v>0.97435897435897434</v>
      </c>
      <c r="AA36">
        <f t="shared" ref="AA36:AA47" si="8">SQRT(Z36)</f>
        <v>0.98709623358564913</v>
      </c>
      <c r="AB36">
        <f t="shared" ref="AB36:AB47" si="9">AA36/4*100</f>
        <v>24.677405839641228</v>
      </c>
    </row>
    <row r="37" spans="1:28" x14ac:dyDescent="0.2">
      <c r="A37" s="28">
        <v>2</v>
      </c>
      <c r="B37" s="31">
        <f t="shared" ref="B37:U37" si="10">B13*B13</f>
        <v>9</v>
      </c>
      <c r="C37" s="31">
        <f t="shared" si="10"/>
        <v>25</v>
      </c>
      <c r="D37" s="31">
        <f t="shared" si="10"/>
        <v>1</v>
      </c>
      <c r="E37" s="31">
        <f t="shared" si="10"/>
        <v>9</v>
      </c>
      <c r="F37" s="31">
        <f t="shared" si="10"/>
        <v>16</v>
      </c>
      <c r="G37" s="31">
        <f t="shared" si="10"/>
        <v>9</v>
      </c>
      <c r="H37" s="31">
        <f t="shared" si="10"/>
        <v>16</v>
      </c>
      <c r="I37" s="31">
        <f t="shared" si="10"/>
        <v>25</v>
      </c>
      <c r="J37" s="31">
        <f t="shared" si="10"/>
        <v>16</v>
      </c>
      <c r="K37" s="31">
        <f t="shared" si="10"/>
        <v>1</v>
      </c>
      <c r="L37" s="31">
        <f t="shared" si="10"/>
        <v>1</v>
      </c>
      <c r="M37" s="31">
        <f t="shared" si="10"/>
        <v>4</v>
      </c>
      <c r="N37" s="31">
        <f t="shared" si="10"/>
        <v>4</v>
      </c>
      <c r="O37" s="31">
        <f t="shared" si="10"/>
        <v>0</v>
      </c>
      <c r="P37" s="31">
        <f t="shared" si="10"/>
        <v>0</v>
      </c>
      <c r="Q37" s="31">
        <f t="shared" si="10"/>
        <v>0</v>
      </c>
      <c r="R37" s="31">
        <f t="shared" si="10"/>
        <v>0</v>
      </c>
      <c r="S37" s="31">
        <f t="shared" si="10"/>
        <v>0</v>
      </c>
      <c r="T37" s="31">
        <f t="shared" si="10"/>
        <v>0</v>
      </c>
      <c r="U37" s="31">
        <f t="shared" si="10"/>
        <v>0</v>
      </c>
      <c r="V37">
        <f t="shared" si="5"/>
        <v>136</v>
      </c>
      <c r="W37">
        <f t="shared" si="6"/>
        <v>1444</v>
      </c>
      <c r="X37">
        <f>L4*(L4-1)</f>
        <v>156</v>
      </c>
      <c r="Y37">
        <f>L4*V37-W37</f>
        <v>324</v>
      </c>
      <c r="Z37">
        <f t="shared" si="7"/>
        <v>2.0769230769230771</v>
      </c>
      <c r="AA37">
        <f t="shared" si="8"/>
        <v>1.4411533842457842</v>
      </c>
      <c r="AB37">
        <f t="shared" si="9"/>
        <v>36.028834606144606</v>
      </c>
    </row>
    <row r="38" spans="1:28" x14ac:dyDescent="0.2">
      <c r="A38" s="28">
        <v>3</v>
      </c>
      <c r="B38" s="31">
        <f t="shared" ref="B38:U38" si="11">B14*B14</f>
        <v>16</v>
      </c>
      <c r="C38" s="31">
        <f t="shared" si="11"/>
        <v>16</v>
      </c>
      <c r="D38" s="31">
        <f t="shared" si="11"/>
        <v>9</v>
      </c>
      <c r="E38" s="31">
        <f t="shared" si="11"/>
        <v>16</v>
      </c>
      <c r="F38" s="31">
        <f t="shared" si="11"/>
        <v>16</v>
      </c>
      <c r="G38" s="31">
        <f t="shared" si="11"/>
        <v>16</v>
      </c>
      <c r="H38" s="31">
        <f t="shared" si="11"/>
        <v>4</v>
      </c>
      <c r="I38" s="31">
        <f t="shared" si="11"/>
        <v>16</v>
      </c>
      <c r="J38" s="31">
        <f t="shared" si="11"/>
        <v>16</v>
      </c>
      <c r="K38" s="31">
        <f t="shared" si="11"/>
        <v>16</v>
      </c>
      <c r="L38" s="31">
        <f t="shared" si="11"/>
        <v>1</v>
      </c>
      <c r="M38" s="31">
        <f t="shared" si="11"/>
        <v>4</v>
      </c>
      <c r="N38" s="31">
        <f t="shared" si="11"/>
        <v>16</v>
      </c>
      <c r="O38" s="31">
        <f t="shared" si="11"/>
        <v>0</v>
      </c>
      <c r="P38" s="31">
        <f t="shared" si="11"/>
        <v>0</v>
      </c>
      <c r="Q38" s="31">
        <f t="shared" si="11"/>
        <v>0</v>
      </c>
      <c r="R38" s="31">
        <f t="shared" si="11"/>
        <v>0</v>
      </c>
      <c r="S38" s="31">
        <f t="shared" si="11"/>
        <v>0</v>
      </c>
      <c r="T38" s="31">
        <f t="shared" si="11"/>
        <v>0</v>
      </c>
      <c r="U38" s="31">
        <f t="shared" si="11"/>
        <v>0</v>
      </c>
      <c r="V38">
        <f t="shared" si="5"/>
        <v>162</v>
      </c>
      <c r="W38">
        <f t="shared" si="6"/>
        <v>1936</v>
      </c>
      <c r="X38">
        <f>L4*(L4-1)</f>
        <v>156</v>
      </c>
      <c r="Y38">
        <f>L4*V38-W38</f>
        <v>170</v>
      </c>
      <c r="Z38">
        <f t="shared" si="7"/>
        <v>1.0897435897435896</v>
      </c>
      <c r="AA38">
        <f t="shared" si="8"/>
        <v>1.0439078454267836</v>
      </c>
      <c r="AB38">
        <f t="shared" si="9"/>
        <v>26.09769613566959</v>
      </c>
    </row>
    <row r="39" spans="1:28" x14ac:dyDescent="0.2">
      <c r="A39" s="28">
        <v>4</v>
      </c>
      <c r="B39" s="31">
        <f t="shared" ref="B39:U39" si="12">B15*B15</f>
        <v>16</v>
      </c>
      <c r="C39" s="31">
        <f t="shared" si="12"/>
        <v>9</v>
      </c>
      <c r="D39" s="31">
        <f t="shared" si="12"/>
        <v>1</v>
      </c>
      <c r="E39" s="31">
        <f t="shared" si="12"/>
        <v>16</v>
      </c>
      <c r="F39" s="31">
        <f t="shared" si="12"/>
        <v>16</v>
      </c>
      <c r="G39" s="31">
        <f t="shared" si="12"/>
        <v>16</v>
      </c>
      <c r="H39" s="31">
        <f t="shared" si="12"/>
        <v>16</v>
      </c>
      <c r="I39" s="31">
        <f t="shared" si="12"/>
        <v>25</v>
      </c>
      <c r="J39" s="31">
        <f t="shared" si="12"/>
        <v>9</v>
      </c>
      <c r="K39" s="31">
        <f t="shared" si="12"/>
        <v>16</v>
      </c>
      <c r="L39" s="31">
        <f t="shared" si="12"/>
        <v>1</v>
      </c>
      <c r="M39" s="31">
        <f t="shared" si="12"/>
        <v>4</v>
      </c>
      <c r="N39" s="31">
        <f t="shared" si="12"/>
        <v>4</v>
      </c>
      <c r="O39" s="31">
        <f t="shared" si="12"/>
        <v>0</v>
      </c>
      <c r="P39" s="31">
        <f t="shared" si="12"/>
        <v>0</v>
      </c>
      <c r="Q39" s="31">
        <f t="shared" si="12"/>
        <v>0</v>
      </c>
      <c r="R39" s="31">
        <f t="shared" si="12"/>
        <v>0</v>
      </c>
      <c r="S39" s="31">
        <f t="shared" si="12"/>
        <v>0</v>
      </c>
      <c r="T39" s="31">
        <f t="shared" si="12"/>
        <v>0</v>
      </c>
      <c r="U39" s="31">
        <f t="shared" si="12"/>
        <v>0</v>
      </c>
      <c r="V39">
        <f t="shared" si="5"/>
        <v>149</v>
      </c>
      <c r="W39">
        <f t="shared" si="6"/>
        <v>1681</v>
      </c>
      <c r="X39">
        <f>L4*(L4-1)</f>
        <v>156</v>
      </c>
      <c r="Y39">
        <f>L4*V39-W39</f>
        <v>256</v>
      </c>
      <c r="Z39">
        <f t="shared" si="7"/>
        <v>1.641025641025641</v>
      </c>
      <c r="AA39">
        <f t="shared" si="8"/>
        <v>1.281025230440697</v>
      </c>
      <c r="AB39">
        <f t="shared" si="9"/>
        <v>32.025630761017425</v>
      </c>
    </row>
    <row r="40" spans="1:28" x14ac:dyDescent="0.2">
      <c r="A40" s="28">
        <v>5</v>
      </c>
      <c r="B40" s="31">
        <f t="shared" ref="B40:U40" si="13">B16*B16</f>
        <v>16</v>
      </c>
      <c r="C40" s="31">
        <f t="shared" si="13"/>
        <v>25</v>
      </c>
      <c r="D40" s="31">
        <f t="shared" si="13"/>
        <v>9</v>
      </c>
      <c r="E40" s="31">
        <f t="shared" si="13"/>
        <v>9</v>
      </c>
      <c r="F40" s="31">
        <f t="shared" si="13"/>
        <v>16</v>
      </c>
      <c r="G40" s="31">
        <f t="shared" si="13"/>
        <v>16</v>
      </c>
      <c r="H40" s="31">
        <f t="shared" si="13"/>
        <v>25</v>
      </c>
      <c r="I40" s="31">
        <f t="shared" si="13"/>
        <v>25</v>
      </c>
      <c r="J40" s="31">
        <f t="shared" si="13"/>
        <v>9</v>
      </c>
      <c r="K40" s="31">
        <f t="shared" si="13"/>
        <v>4</v>
      </c>
      <c r="L40" s="31">
        <f t="shared" si="13"/>
        <v>1</v>
      </c>
      <c r="M40" s="31">
        <f t="shared" si="13"/>
        <v>4</v>
      </c>
      <c r="N40" s="31">
        <f t="shared" si="13"/>
        <v>4</v>
      </c>
      <c r="O40" s="31">
        <f t="shared" si="13"/>
        <v>0</v>
      </c>
      <c r="P40" s="31">
        <f t="shared" si="13"/>
        <v>0</v>
      </c>
      <c r="Q40" s="31">
        <f t="shared" si="13"/>
        <v>0</v>
      </c>
      <c r="R40" s="31">
        <f t="shared" si="13"/>
        <v>0</v>
      </c>
      <c r="S40" s="31">
        <f t="shared" si="13"/>
        <v>0</v>
      </c>
      <c r="T40" s="31">
        <f t="shared" si="13"/>
        <v>0</v>
      </c>
      <c r="U40" s="31">
        <f t="shared" si="13"/>
        <v>0</v>
      </c>
      <c r="V40">
        <f t="shared" si="5"/>
        <v>163</v>
      </c>
      <c r="W40">
        <f t="shared" si="6"/>
        <v>1849</v>
      </c>
      <c r="X40">
        <f>L4*(L4-1)</f>
        <v>156</v>
      </c>
      <c r="Y40">
        <f>L4*V40-W40</f>
        <v>270</v>
      </c>
      <c r="Z40">
        <f t="shared" si="7"/>
        <v>1.7307692307692308</v>
      </c>
      <c r="AA40">
        <f t="shared" si="8"/>
        <v>1.3155870289605438</v>
      </c>
      <c r="AB40">
        <f t="shared" si="9"/>
        <v>32.889675724013593</v>
      </c>
    </row>
    <row r="41" spans="1:28" x14ac:dyDescent="0.2">
      <c r="A41" s="28">
        <v>6</v>
      </c>
      <c r="B41" s="31">
        <f t="shared" ref="B41:U41" si="14">B17*B17</f>
        <v>16</v>
      </c>
      <c r="C41" s="31">
        <f t="shared" si="14"/>
        <v>16</v>
      </c>
      <c r="D41" s="31">
        <f t="shared" si="14"/>
        <v>16</v>
      </c>
      <c r="E41" s="31">
        <f t="shared" si="14"/>
        <v>9</v>
      </c>
      <c r="F41" s="31">
        <f t="shared" si="14"/>
        <v>16</v>
      </c>
      <c r="G41" s="31">
        <f t="shared" si="14"/>
        <v>25</v>
      </c>
      <c r="H41" s="31">
        <f t="shared" si="14"/>
        <v>16</v>
      </c>
      <c r="I41" s="31">
        <f t="shared" si="14"/>
        <v>25</v>
      </c>
      <c r="J41" s="31">
        <f t="shared" si="14"/>
        <v>9</v>
      </c>
      <c r="K41" s="31">
        <f t="shared" si="14"/>
        <v>16</v>
      </c>
      <c r="L41" s="31">
        <f t="shared" si="14"/>
        <v>9</v>
      </c>
      <c r="M41" s="31">
        <f t="shared" si="14"/>
        <v>4</v>
      </c>
      <c r="N41" s="31">
        <f t="shared" si="14"/>
        <v>4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1">
        <f t="shared" si="14"/>
        <v>0</v>
      </c>
      <c r="S41" s="31">
        <f t="shared" si="14"/>
        <v>0</v>
      </c>
      <c r="T41" s="31">
        <f t="shared" si="14"/>
        <v>0</v>
      </c>
      <c r="U41" s="31">
        <f t="shared" si="14"/>
        <v>0</v>
      </c>
      <c r="V41">
        <f t="shared" si="5"/>
        <v>181</v>
      </c>
      <c r="W41">
        <f t="shared" si="6"/>
        <v>2209</v>
      </c>
      <c r="X41">
        <f>L4*(L4-1)</f>
        <v>156</v>
      </c>
      <c r="Y41">
        <f>L4*V41-W41</f>
        <v>144</v>
      </c>
      <c r="Z41">
        <f t="shared" si="7"/>
        <v>0.92307692307692313</v>
      </c>
      <c r="AA41">
        <f t="shared" si="8"/>
        <v>0.96076892283052284</v>
      </c>
      <c r="AB41">
        <f t="shared" si="9"/>
        <v>24.019223070763072</v>
      </c>
    </row>
    <row r="42" spans="1:28" x14ac:dyDescent="0.2">
      <c r="A42" s="28">
        <v>7</v>
      </c>
      <c r="B42" s="31">
        <f t="shared" ref="B42:U42" si="15">B18*B18</f>
        <v>16</v>
      </c>
      <c r="C42" s="31">
        <f t="shared" si="15"/>
        <v>16</v>
      </c>
      <c r="D42" s="31">
        <f t="shared" si="15"/>
        <v>16</v>
      </c>
      <c r="E42" s="31">
        <f t="shared" si="15"/>
        <v>16</v>
      </c>
      <c r="F42" s="31">
        <f t="shared" si="15"/>
        <v>16</v>
      </c>
      <c r="G42" s="31">
        <f t="shared" si="15"/>
        <v>16</v>
      </c>
      <c r="H42" s="31">
        <f t="shared" si="15"/>
        <v>16</v>
      </c>
      <c r="I42" s="31">
        <f t="shared" si="15"/>
        <v>25</v>
      </c>
      <c r="J42" s="31">
        <f t="shared" si="15"/>
        <v>9</v>
      </c>
      <c r="K42" s="31">
        <f t="shared" si="15"/>
        <v>16</v>
      </c>
      <c r="L42" s="31">
        <f t="shared" si="15"/>
        <v>16</v>
      </c>
      <c r="M42" s="31">
        <f t="shared" si="15"/>
        <v>9</v>
      </c>
      <c r="N42" s="31">
        <f t="shared" si="15"/>
        <v>16</v>
      </c>
      <c r="O42" s="31">
        <f t="shared" si="15"/>
        <v>0</v>
      </c>
      <c r="P42" s="31">
        <f t="shared" si="15"/>
        <v>0</v>
      </c>
      <c r="Q42" s="31">
        <f t="shared" si="15"/>
        <v>0</v>
      </c>
      <c r="R42" s="31">
        <f t="shared" si="15"/>
        <v>0</v>
      </c>
      <c r="S42" s="31">
        <f t="shared" si="15"/>
        <v>0</v>
      </c>
      <c r="T42" s="31">
        <f t="shared" si="15"/>
        <v>0</v>
      </c>
      <c r="U42" s="31">
        <f t="shared" si="15"/>
        <v>0</v>
      </c>
      <c r="V42">
        <f t="shared" si="5"/>
        <v>203</v>
      </c>
      <c r="W42">
        <f t="shared" si="6"/>
        <v>2601</v>
      </c>
      <c r="X42">
        <f>L4*(L4-1)</f>
        <v>156</v>
      </c>
      <c r="Y42">
        <f>L4*V42-W42</f>
        <v>38</v>
      </c>
      <c r="Z42">
        <f t="shared" si="7"/>
        <v>0.24358974358974358</v>
      </c>
      <c r="AA42">
        <f t="shared" si="8"/>
        <v>0.49354811679282456</v>
      </c>
      <c r="AB42">
        <f t="shared" si="9"/>
        <v>12.338702919820614</v>
      </c>
    </row>
    <row r="43" spans="1:28" x14ac:dyDescent="0.2">
      <c r="A43" s="28">
        <v>8</v>
      </c>
      <c r="B43" s="31">
        <f t="shared" ref="B43:U43" si="16">B19*B19</f>
        <v>16</v>
      </c>
      <c r="C43" s="31">
        <f t="shared" si="16"/>
        <v>16</v>
      </c>
      <c r="D43" s="31">
        <f t="shared" si="16"/>
        <v>16</v>
      </c>
      <c r="E43" s="31">
        <f t="shared" si="16"/>
        <v>16</v>
      </c>
      <c r="F43" s="31">
        <f t="shared" si="16"/>
        <v>16</v>
      </c>
      <c r="G43" s="31">
        <f t="shared" si="16"/>
        <v>25</v>
      </c>
      <c r="H43" s="31">
        <f t="shared" si="16"/>
        <v>16</v>
      </c>
      <c r="I43" s="31">
        <f t="shared" si="16"/>
        <v>25</v>
      </c>
      <c r="J43" s="31">
        <f t="shared" si="16"/>
        <v>9</v>
      </c>
      <c r="K43" s="31">
        <f t="shared" si="16"/>
        <v>9</v>
      </c>
      <c r="L43" s="31">
        <f t="shared" si="16"/>
        <v>1</v>
      </c>
      <c r="M43" s="31">
        <f t="shared" si="16"/>
        <v>4</v>
      </c>
      <c r="N43" s="31">
        <f t="shared" si="16"/>
        <v>4</v>
      </c>
      <c r="O43" s="31">
        <f t="shared" si="16"/>
        <v>0</v>
      </c>
      <c r="P43" s="31">
        <f t="shared" si="16"/>
        <v>0</v>
      </c>
      <c r="Q43" s="31">
        <f t="shared" si="16"/>
        <v>0</v>
      </c>
      <c r="R43" s="31">
        <f t="shared" si="16"/>
        <v>0</v>
      </c>
      <c r="S43" s="31">
        <f t="shared" si="16"/>
        <v>0</v>
      </c>
      <c r="T43" s="31">
        <f t="shared" si="16"/>
        <v>0</v>
      </c>
      <c r="U43" s="31">
        <f t="shared" si="16"/>
        <v>0</v>
      </c>
      <c r="V43">
        <f t="shared" si="5"/>
        <v>173</v>
      </c>
      <c r="W43">
        <f t="shared" si="6"/>
        <v>2025</v>
      </c>
      <c r="X43">
        <f>L4*(L4-1)</f>
        <v>156</v>
      </c>
      <c r="Y43">
        <f>L4*V43-W43</f>
        <v>224</v>
      </c>
      <c r="Z43">
        <f t="shared" si="7"/>
        <v>1.4358974358974359</v>
      </c>
      <c r="AA43">
        <f t="shared" si="8"/>
        <v>1.1982893790305562</v>
      </c>
      <c r="AB43">
        <f t="shared" si="9"/>
        <v>29.957234475763904</v>
      </c>
    </row>
    <row r="44" spans="1:28" x14ac:dyDescent="0.2">
      <c r="A44" s="28">
        <v>9</v>
      </c>
      <c r="B44" s="31">
        <f t="shared" ref="B44:U44" si="17">B20*B20</f>
        <v>16</v>
      </c>
      <c r="C44" s="31">
        <f t="shared" si="17"/>
        <v>16</v>
      </c>
      <c r="D44" s="31">
        <f t="shared" si="17"/>
        <v>9</v>
      </c>
      <c r="E44" s="31">
        <f t="shared" si="17"/>
        <v>9</v>
      </c>
      <c r="F44" s="31">
        <f t="shared" si="17"/>
        <v>9</v>
      </c>
      <c r="G44" s="31">
        <f t="shared" si="17"/>
        <v>16</v>
      </c>
      <c r="H44" s="31">
        <f t="shared" si="17"/>
        <v>25</v>
      </c>
      <c r="I44" s="31">
        <f t="shared" si="17"/>
        <v>16</v>
      </c>
      <c r="J44" s="31">
        <f t="shared" si="17"/>
        <v>9</v>
      </c>
      <c r="K44" s="31">
        <f t="shared" si="17"/>
        <v>4</v>
      </c>
      <c r="L44" s="31">
        <f t="shared" si="17"/>
        <v>1</v>
      </c>
      <c r="M44" s="31">
        <f t="shared" si="17"/>
        <v>4</v>
      </c>
      <c r="N44" s="31">
        <f t="shared" si="17"/>
        <v>4</v>
      </c>
      <c r="O44" s="31">
        <f t="shared" si="17"/>
        <v>0</v>
      </c>
      <c r="P44" s="31">
        <f t="shared" si="17"/>
        <v>0</v>
      </c>
      <c r="Q44" s="31">
        <f t="shared" si="17"/>
        <v>0</v>
      </c>
      <c r="R44" s="31">
        <f t="shared" si="17"/>
        <v>0</v>
      </c>
      <c r="S44" s="31">
        <f t="shared" si="17"/>
        <v>0</v>
      </c>
      <c r="T44" s="31">
        <f t="shared" si="17"/>
        <v>0</v>
      </c>
      <c r="U44" s="31">
        <f t="shared" si="17"/>
        <v>0</v>
      </c>
      <c r="V44">
        <f t="shared" si="5"/>
        <v>138</v>
      </c>
      <c r="W44">
        <f t="shared" si="6"/>
        <v>1600</v>
      </c>
      <c r="X44">
        <f>L4*(L4-1)</f>
        <v>156</v>
      </c>
      <c r="Y44">
        <f>L4*V44-W44</f>
        <v>194</v>
      </c>
      <c r="Z44">
        <f t="shared" si="7"/>
        <v>1.2435897435897436</v>
      </c>
      <c r="AA44">
        <f t="shared" si="8"/>
        <v>1.1151635501529555</v>
      </c>
      <c r="AB44">
        <f t="shared" si="9"/>
        <v>27.87908875382389</v>
      </c>
    </row>
    <row r="45" spans="1:28" x14ac:dyDescent="0.2">
      <c r="A45" s="28">
        <v>10</v>
      </c>
      <c r="B45" s="31">
        <f t="shared" ref="B45:U45" si="18">B21*B21</f>
        <v>16</v>
      </c>
      <c r="C45" s="31">
        <f t="shared" si="18"/>
        <v>16</v>
      </c>
      <c r="D45" s="31">
        <f t="shared" si="18"/>
        <v>9</v>
      </c>
      <c r="E45" s="31">
        <f t="shared" si="18"/>
        <v>16</v>
      </c>
      <c r="F45" s="31">
        <f t="shared" si="18"/>
        <v>16</v>
      </c>
      <c r="G45" s="31">
        <f t="shared" si="18"/>
        <v>16</v>
      </c>
      <c r="H45" s="31">
        <f t="shared" si="18"/>
        <v>16</v>
      </c>
      <c r="I45" s="31">
        <f t="shared" si="18"/>
        <v>25</v>
      </c>
      <c r="J45" s="31">
        <f t="shared" si="18"/>
        <v>4</v>
      </c>
      <c r="K45" s="31">
        <f t="shared" si="18"/>
        <v>16</v>
      </c>
      <c r="L45" s="31">
        <f t="shared" si="18"/>
        <v>25</v>
      </c>
      <c r="M45" s="31">
        <f t="shared" si="18"/>
        <v>4</v>
      </c>
      <c r="N45" s="31">
        <f t="shared" si="18"/>
        <v>16</v>
      </c>
      <c r="O45" s="31">
        <f t="shared" si="18"/>
        <v>0</v>
      </c>
      <c r="P45" s="31">
        <f t="shared" si="18"/>
        <v>0</v>
      </c>
      <c r="Q45" s="31">
        <f t="shared" si="18"/>
        <v>0</v>
      </c>
      <c r="R45" s="31">
        <f t="shared" si="18"/>
        <v>0</v>
      </c>
      <c r="S45" s="31">
        <f t="shared" si="18"/>
        <v>0</v>
      </c>
      <c r="T45" s="31">
        <f t="shared" si="18"/>
        <v>0</v>
      </c>
      <c r="U45" s="31">
        <f t="shared" si="18"/>
        <v>0</v>
      </c>
      <c r="V45">
        <f t="shared" si="5"/>
        <v>195</v>
      </c>
      <c r="W45">
        <f t="shared" si="6"/>
        <v>2401</v>
      </c>
      <c r="X45">
        <f>L4*(L4-1)</f>
        <v>156</v>
      </c>
      <c r="Y45">
        <f>L4*V45-W45</f>
        <v>134</v>
      </c>
      <c r="Z45">
        <f t="shared" si="7"/>
        <v>0.85897435897435892</v>
      </c>
      <c r="AA45">
        <f t="shared" si="8"/>
        <v>0.92680869599629834</v>
      </c>
      <c r="AB45">
        <f t="shared" si="9"/>
        <v>23.170217399907457</v>
      </c>
    </row>
    <row r="46" spans="1:28" x14ac:dyDescent="0.2">
      <c r="A46" s="28">
        <v>11</v>
      </c>
      <c r="B46" s="31">
        <f t="shared" ref="B46:U46" si="19">B22*B22</f>
        <v>16</v>
      </c>
      <c r="C46" s="31">
        <f t="shared" si="19"/>
        <v>16</v>
      </c>
      <c r="D46" s="31">
        <f t="shared" si="19"/>
        <v>9</v>
      </c>
      <c r="E46" s="31">
        <f t="shared" si="19"/>
        <v>9</v>
      </c>
      <c r="F46" s="31">
        <f t="shared" si="19"/>
        <v>4</v>
      </c>
      <c r="G46" s="31">
        <f t="shared" si="19"/>
        <v>16</v>
      </c>
      <c r="H46" s="31">
        <f t="shared" si="19"/>
        <v>9</v>
      </c>
      <c r="I46" s="31">
        <f t="shared" si="19"/>
        <v>25</v>
      </c>
      <c r="J46" s="31">
        <f t="shared" si="19"/>
        <v>4</v>
      </c>
      <c r="K46" s="31">
        <f t="shared" si="19"/>
        <v>4</v>
      </c>
      <c r="L46" s="31">
        <f t="shared" si="19"/>
        <v>16</v>
      </c>
      <c r="M46" s="31">
        <f t="shared" si="19"/>
        <v>4</v>
      </c>
      <c r="N46" s="31">
        <f t="shared" si="19"/>
        <v>16</v>
      </c>
      <c r="O46" s="31">
        <f t="shared" si="19"/>
        <v>0</v>
      </c>
      <c r="P46" s="31">
        <f t="shared" si="19"/>
        <v>0</v>
      </c>
      <c r="Q46" s="31">
        <f t="shared" si="19"/>
        <v>0</v>
      </c>
      <c r="R46" s="31">
        <f t="shared" si="19"/>
        <v>0</v>
      </c>
      <c r="S46" s="31">
        <f t="shared" si="19"/>
        <v>0</v>
      </c>
      <c r="T46" s="31">
        <f t="shared" si="19"/>
        <v>0</v>
      </c>
      <c r="U46" s="31">
        <f t="shared" si="19"/>
        <v>0</v>
      </c>
      <c r="V46">
        <f t="shared" si="5"/>
        <v>148</v>
      </c>
      <c r="W46">
        <f t="shared" si="6"/>
        <v>1764</v>
      </c>
      <c r="X46">
        <f>L4*(L4-1)</f>
        <v>156</v>
      </c>
      <c r="Y46">
        <f>L4*V46-W46</f>
        <v>160</v>
      </c>
      <c r="Z46">
        <f t="shared" si="7"/>
        <v>1.0256410256410255</v>
      </c>
      <c r="AA46">
        <f t="shared" si="8"/>
        <v>1.0127393670836666</v>
      </c>
      <c r="AB46">
        <f t="shared" si="9"/>
        <v>25.318484177091666</v>
      </c>
    </row>
    <row r="47" spans="1:28" x14ac:dyDescent="0.2">
      <c r="A47" s="28">
        <v>12</v>
      </c>
      <c r="B47" s="31">
        <f t="shared" ref="B47:U47" si="20">B23*B23</f>
        <v>25</v>
      </c>
      <c r="C47" s="31">
        <f t="shared" si="20"/>
        <v>16</v>
      </c>
      <c r="D47" s="31">
        <f t="shared" si="20"/>
        <v>16</v>
      </c>
      <c r="E47" s="31">
        <f t="shared" si="20"/>
        <v>25</v>
      </c>
      <c r="F47" s="31">
        <f t="shared" si="20"/>
        <v>4</v>
      </c>
      <c r="G47" s="31">
        <f t="shared" si="20"/>
        <v>16</v>
      </c>
      <c r="H47" s="31">
        <f t="shared" si="20"/>
        <v>9</v>
      </c>
      <c r="I47" s="31">
        <f t="shared" si="20"/>
        <v>16</v>
      </c>
      <c r="J47" s="31">
        <f t="shared" si="20"/>
        <v>16</v>
      </c>
      <c r="K47" s="31">
        <f t="shared" si="20"/>
        <v>16</v>
      </c>
      <c r="L47" s="31">
        <f t="shared" si="20"/>
        <v>1</v>
      </c>
      <c r="M47" s="31">
        <f t="shared" si="20"/>
        <v>1</v>
      </c>
      <c r="N47" s="31">
        <f t="shared" si="20"/>
        <v>4</v>
      </c>
      <c r="O47" s="31">
        <f t="shared" si="20"/>
        <v>0</v>
      </c>
      <c r="P47" s="31">
        <f t="shared" si="20"/>
        <v>0</v>
      </c>
      <c r="Q47" s="31">
        <f t="shared" si="20"/>
        <v>0</v>
      </c>
      <c r="R47" s="31">
        <f t="shared" si="20"/>
        <v>0</v>
      </c>
      <c r="S47" s="31">
        <f t="shared" si="20"/>
        <v>0</v>
      </c>
      <c r="T47" s="31">
        <f t="shared" si="20"/>
        <v>0</v>
      </c>
      <c r="U47" s="31">
        <f t="shared" si="20"/>
        <v>0</v>
      </c>
      <c r="V47">
        <f t="shared" si="5"/>
        <v>165</v>
      </c>
      <c r="W47">
        <f t="shared" si="6"/>
        <v>1849</v>
      </c>
      <c r="X47">
        <f>L4*(L4-1)</f>
        <v>156</v>
      </c>
      <c r="Y47">
        <f>L4*V47-W47</f>
        <v>296</v>
      </c>
      <c r="Z47">
        <f t="shared" si="7"/>
        <v>1.8974358974358974</v>
      </c>
      <c r="AA47">
        <f t="shared" si="8"/>
        <v>1.377474463442389</v>
      </c>
      <c r="AB47">
        <f t="shared" si="9"/>
        <v>34.436861586059727</v>
      </c>
    </row>
    <row r="48" spans="1:28" x14ac:dyDescent="0.2">
      <c r="A48" s="28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1" x14ac:dyDescent="0.2">
      <c r="A49" s="28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spans="1:21" x14ac:dyDescent="0.2">
      <c r="A50" s="28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1" x14ac:dyDescent="0.2">
      <c r="A51" s="28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</sheetData>
  <pageMargins left="0.78740157499999996" right="0.78740157499999996" top="0.984251969" bottom="0.984251969" header="0.5" footer="0.5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11"/>
  <dimension ref="A1:AB55"/>
  <sheetViews>
    <sheetView zoomScale="85" zoomScaleNormal="85" workbookViewId="0">
      <selection activeCell="X22" sqref="X22"/>
    </sheetView>
  </sheetViews>
  <sheetFormatPr baseColWidth="10" defaultColWidth="8.85546875" defaultRowHeight="12.75" x14ac:dyDescent="0.2"/>
  <cols>
    <col min="1" max="1" width="6.42578125" customWidth="1"/>
    <col min="2" max="21" width="3.7109375" customWidth="1"/>
    <col min="22" max="24" width="8.85546875" customWidth="1"/>
    <col min="25" max="25" width="6.85546875" customWidth="1"/>
    <col min="26" max="26" width="16.42578125" customWidth="1"/>
  </cols>
  <sheetData>
    <row r="1" spans="1:27" ht="18" x14ac:dyDescent="0.25">
      <c r="A1" s="1" t="s">
        <v>4</v>
      </c>
    </row>
    <row r="2" spans="1:27" x14ac:dyDescent="0.2">
      <c r="L2" s="26" t="s">
        <v>57</v>
      </c>
      <c r="M2" s="4"/>
      <c r="N2" s="4"/>
      <c r="O2" s="4"/>
      <c r="P2" s="4"/>
      <c r="Q2" s="4"/>
      <c r="R2" s="4"/>
      <c r="S2" s="4"/>
      <c r="T2" s="4"/>
      <c r="U2" s="5"/>
      <c r="W2" s="26" t="s">
        <v>66</v>
      </c>
      <c r="X2" s="4"/>
      <c r="Y2" s="4"/>
      <c r="Z2" s="4"/>
      <c r="AA2" s="5"/>
    </row>
    <row r="3" spans="1:27" ht="13.5" thickBot="1" x14ac:dyDescent="0.25">
      <c r="B3" s="3" t="s">
        <v>30</v>
      </c>
      <c r="C3" s="8"/>
      <c r="D3" s="8"/>
      <c r="G3" s="8"/>
      <c r="H3" s="8"/>
      <c r="I3" s="8"/>
      <c r="J3" s="8"/>
      <c r="K3" s="8"/>
      <c r="L3" s="47" t="s">
        <v>58</v>
      </c>
      <c r="M3" s="8"/>
      <c r="N3" s="8"/>
      <c r="O3" s="8"/>
      <c r="P3" s="22">
        <f>V25*V25</f>
        <v>240100</v>
      </c>
      <c r="Q3" s="43" t="s">
        <v>10</v>
      </c>
      <c r="S3" s="8"/>
      <c r="T3" s="8"/>
      <c r="U3" s="9"/>
      <c r="W3" s="35" t="s">
        <v>103</v>
      </c>
      <c r="X3" s="8" t="s">
        <v>67</v>
      </c>
      <c r="Y3" s="8"/>
      <c r="Z3" s="8"/>
      <c r="AA3" s="9"/>
    </row>
    <row r="4" spans="1:27" x14ac:dyDescent="0.2">
      <c r="A4" s="23">
        <f>(P8/L6)*100</f>
        <v>68.531468531468533</v>
      </c>
      <c r="B4" s="14" t="s">
        <v>79</v>
      </c>
      <c r="C4" s="15"/>
      <c r="D4" s="15"/>
      <c r="E4" s="15"/>
      <c r="F4" s="16"/>
      <c r="G4" s="16"/>
      <c r="H4" s="16"/>
      <c r="I4" s="16"/>
      <c r="J4" s="17"/>
      <c r="K4" s="8"/>
      <c r="L4" s="6">
        <v>11</v>
      </c>
      <c r="M4" s="8"/>
      <c r="N4" s="8"/>
      <c r="O4" s="8"/>
      <c r="P4" s="7">
        <f>L4*(L4-1)</f>
        <v>110</v>
      </c>
      <c r="Q4" s="43" t="s">
        <v>11</v>
      </c>
      <c r="S4" s="8"/>
      <c r="T4" s="8"/>
      <c r="U4" s="9"/>
      <c r="W4" s="35" t="s">
        <v>104</v>
      </c>
      <c r="X4" s="8" t="s">
        <v>43</v>
      </c>
      <c r="Y4" s="8"/>
      <c r="Z4" s="8"/>
      <c r="AA4" s="9"/>
    </row>
    <row r="5" spans="1:27" ht="13.5" thickBot="1" x14ac:dyDescent="0.25">
      <c r="A5" s="24">
        <f>100-(P9*2)</f>
        <v>74.934190973740016</v>
      </c>
      <c r="B5" s="18" t="s">
        <v>47</v>
      </c>
      <c r="C5" s="19"/>
      <c r="D5" s="19"/>
      <c r="E5" s="19"/>
      <c r="F5" s="20"/>
      <c r="G5" s="20"/>
      <c r="H5" s="20"/>
      <c r="I5" s="20"/>
      <c r="J5" s="21"/>
      <c r="K5" s="8"/>
      <c r="L5" s="47" t="s">
        <v>59</v>
      </c>
      <c r="M5" s="8"/>
      <c r="N5" s="8"/>
      <c r="O5" s="8"/>
      <c r="P5" s="22">
        <f>(L4*V26)-P3</f>
        <v>4672</v>
      </c>
      <c r="Q5" s="43" t="s">
        <v>122</v>
      </c>
      <c r="S5" s="8"/>
      <c r="T5" s="8"/>
      <c r="U5" s="9"/>
      <c r="W5" s="35" t="s">
        <v>105</v>
      </c>
      <c r="X5" s="8" t="s">
        <v>68</v>
      </c>
      <c r="Y5" s="8"/>
      <c r="Z5" s="8"/>
      <c r="AA5" s="9"/>
    </row>
    <row r="6" spans="1:27" x14ac:dyDescent="0.2">
      <c r="J6" s="8"/>
      <c r="K6" s="8"/>
      <c r="L6" s="6">
        <f>A24*5</f>
        <v>65</v>
      </c>
      <c r="M6" s="8"/>
      <c r="N6" s="10"/>
      <c r="O6" s="8"/>
      <c r="P6" s="7">
        <f>P5/P4</f>
        <v>42.472727272727276</v>
      </c>
      <c r="Q6" s="43" t="s">
        <v>12</v>
      </c>
      <c r="S6" s="8"/>
      <c r="T6" s="8"/>
      <c r="U6" s="9"/>
      <c r="W6" s="35" t="s">
        <v>106</v>
      </c>
      <c r="X6" s="8" t="s">
        <v>43</v>
      </c>
      <c r="Y6" s="8"/>
      <c r="Z6" s="8"/>
      <c r="AA6" s="9"/>
    </row>
    <row r="7" spans="1:27" x14ac:dyDescent="0.2">
      <c r="C7" s="8"/>
      <c r="D7" s="8"/>
      <c r="G7" s="8"/>
      <c r="H7" s="8"/>
      <c r="I7" s="8"/>
      <c r="J7" s="8"/>
      <c r="K7" s="8"/>
      <c r="L7" s="47" t="s">
        <v>60</v>
      </c>
      <c r="M7" s="8"/>
      <c r="N7" s="10"/>
      <c r="O7" s="8"/>
      <c r="P7" s="7">
        <f>SQRT(P6)</f>
        <v>6.5171103468275939</v>
      </c>
      <c r="Q7" s="43" t="s">
        <v>13</v>
      </c>
      <c r="S7" s="8"/>
      <c r="T7" s="8"/>
      <c r="U7" s="9"/>
      <c r="W7" s="46" t="s">
        <v>107</v>
      </c>
      <c r="X7" s="12" t="s">
        <v>69</v>
      </c>
      <c r="Y7" s="12"/>
      <c r="Z7" s="12"/>
      <c r="AA7" s="13"/>
    </row>
    <row r="8" spans="1:27" x14ac:dyDescent="0.2">
      <c r="C8" s="8"/>
      <c r="D8" s="8"/>
      <c r="G8" s="8"/>
      <c r="H8" s="8"/>
      <c r="I8" s="8"/>
      <c r="J8" s="8"/>
      <c r="L8" s="6">
        <v>13</v>
      </c>
      <c r="M8" s="8"/>
      <c r="N8" s="8"/>
      <c r="O8" s="8"/>
      <c r="P8" s="8">
        <f>V25/L4</f>
        <v>44.545454545454547</v>
      </c>
      <c r="Q8" s="43" t="s">
        <v>5</v>
      </c>
      <c r="R8" s="8"/>
      <c r="S8" s="8"/>
      <c r="T8" s="8"/>
      <c r="U8" s="9"/>
    </row>
    <row r="9" spans="1:27" x14ac:dyDescent="0.2">
      <c r="L9" s="11"/>
      <c r="M9" s="12"/>
      <c r="N9" s="12"/>
      <c r="O9" s="12"/>
      <c r="P9" s="12">
        <f>P7/((L8*5)-(L8*1))*100</f>
        <v>12.532904513129989</v>
      </c>
      <c r="Q9" s="44" t="s">
        <v>81</v>
      </c>
      <c r="R9" s="12"/>
      <c r="S9" s="12"/>
      <c r="T9" s="12"/>
      <c r="U9" s="13"/>
    </row>
    <row r="10" spans="1:27" x14ac:dyDescent="0.2">
      <c r="A10" s="3"/>
      <c r="B10" s="3" t="s">
        <v>63</v>
      </c>
      <c r="C10" s="3"/>
      <c r="D10" s="3"/>
      <c r="E10" s="3"/>
      <c r="F10" s="3">
        <v>5</v>
      </c>
      <c r="G10" s="3"/>
      <c r="H10" s="3"/>
      <c r="I10" s="3"/>
      <c r="J10" s="3"/>
      <c r="K10" s="3">
        <v>10</v>
      </c>
      <c r="L10" s="3"/>
      <c r="M10" s="3"/>
      <c r="N10" s="3"/>
      <c r="O10" s="3"/>
      <c r="P10" s="3">
        <v>15</v>
      </c>
      <c r="Q10" s="3"/>
      <c r="R10" s="3"/>
      <c r="S10" s="3"/>
      <c r="T10" s="3"/>
      <c r="U10" s="3">
        <v>20</v>
      </c>
      <c r="W10" s="26" t="s">
        <v>6</v>
      </c>
      <c r="X10" s="38"/>
      <c r="Y10" s="4"/>
      <c r="Z10" s="4"/>
      <c r="AA10" s="5"/>
    </row>
    <row r="11" spans="1:27" x14ac:dyDescent="0.2">
      <c r="A11" s="28" t="s">
        <v>64</v>
      </c>
      <c r="B11" s="71" t="s">
        <v>110</v>
      </c>
      <c r="C11" s="71" t="s">
        <v>111</v>
      </c>
      <c r="D11" s="71" t="s">
        <v>112</v>
      </c>
      <c r="E11" s="71" t="s">
        <v>113</v>
      </c>
      <c r="F11" s="71" t="s">
        <v>114</v>
      </c>
      <c r="G11" s="71" t="s">
        <v>115</v>
      </c>
      <c r="H11" s="71" t="s">
        <v>116</v>
      </c>
      <c r="I11" s="73" t="s">
        <v>117</v>
      </c>
      <c r="J11" s="73" t="s">
        <v>118</v>
      </c>
      <c r="K11" s="73" t="s">
        <v>119</v>
      </c>
      <c r="L11" s="73" t="s">
        <v>120</v>
      </c>
      <c r="M11" s="74" t="s">
        <v>121</v>
      </c>
      <c r="N11" s="74" t="s">
        <v>122</v>
      </c>
      <c r="O11" s="74" t="s">
        <v>123</v>
      </c>
      <c r="P11" s="28" t="s">
        <v>124</v>
      </c>
      <c r="Q11" s="28" t="s">
        <v>12</v>
      </c>
      <c r="R11" s="28" t="s">
        <v>14</v>
      </c>
      <c r="S11" s="28" t="s">
        <v>15</v>
      </c>
      <c r="T11" s="28" t="s">
        <v>16</v>
      </c>
      <c r="U11" s="28" t="s">
        <v>17</v>
      </c>
      <c r="V11" s="31" t="s">
        <v>65</v>
      </c>
      <c r="W11" s="27" t="s">
        <v>31</v>
      </c>
      <c r="X11" s="10" t="s">
        <v>32</v>
      </c>
      <c r="Y11" s="37" t="s">
        <v>64</v>
      </c>
      <c r="Z11" s="8"/>
      <c r="AA11" s="9"/>
    </row>
    <row r="12" spans="1:27" x14ac:dyDescent="0.2">
      <c r="A12" s="28">
        <v>1</v>
      </c>
      <c r="B12" s="72">
        <v>2</v>
      </c>
      <c r="C12" s="72">
        <v>2</v>
      </c>
      <c r="D12" s="72">
        <v>4</v>
      </c>
      <c r="E12" s="72">
        <v>4</v>
      </c>
      <c r="F12" s="72">
        <v>4</v>
      </c>
      <c r="G12" s="72">
        <v>5</v>
      </c>
      <c r="H12" s="72">
        <v>4</v>
      </c>
      <c r="I12" s="72">
        <v>4</v>
      </c>
      <c r="J12" s="72">
        <v>3</v>
      </c>
      <c r="K12" s="72">
        <v>2</v>
      </c>
      <c r="L12" s="72">
        <v>4</v>
      </c>
      <c r="M12" s="72"/>
      <c r="N12" s="72"/>
      <c r="O12" s="72"/>
      <c r="P12" s="31"/>
      <c r="Q12" s="31"/>
      <c r="R12" s="31"/>
      <c r="S12" s="31"/>
      <c r="T12" s="31"/>
      <c r="U12" s="31"/>
      <c r="V12" s="31">
        <f t="shared" ref="V12:V24" si="0">SUM(B12:U12)</f>
        <v>38</v>
      </c>
      <c r="W12" s="39">
        <f>V12/L4*20</f>
        <v>69.090909090909093</v>
      </c>
      <c r="X12" s="40">
        <f t="shared" ref="X12:X24" si="1">100-(AB43*2)</f>
        <v>48.21372593226868</v>
      </c>
      <c r="Y12" s="8" t="s">
        <v>180</v>
      </c>
      <c r="Z12" s="8"/>
      <c r="AA12" s="9"/>
    </row>
    <row r="13" spans="1:27" x14ac:dyDescent="0.2">
      <c r="A13" s="28">
        <v>2</v>
      </c>
      <c r="B13" s="31">
        <v>2</v>
      </c>
      <c r="C13" s="31">
        <v>2</v>
      </c>
      <c r="D13" s="31">
        <v>4</v>
      </c>
      <c r="E13" s="31">
        <v>3</v>
      </c>
      <c r="F13" s="31">
        <v>3</v>
      </c>
      <c r="G13" s="31">
        <v>3</v>
      </c>
      <c r="H13" s="31">
        <v>3</v>
      </c>
      <c r="I13" s="31">
        <v>2</v>
      </c>
      <c r="J13" s="31">
        <v>3</v>
      </c>
      <c r="K13" s="31">
        <v>2</v>
      </c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>
        <f t="shared" si="0"/>
        <v>31</v>
      </c>
      <c r="W13" s="39">
        <f>V13/L4*20</f>
        <v>56.363636363636367</v>
      </c>
      <c r="X13" s="40">
        <f t="shared" si="1"/>
        <v>62.462140323522583</v>
      </c>
      <c r="Y13" s="8" t="s">
        <v>181</v>
      </c>
      <c r="Z13" s="8"/>
      <c r="AA13" s="9"/>
    </row>
    <row r="14" spans="1:27" x14ac:dyDescent="0.2">
      <c r="A14" s="28">
        <v>3</v>
      </c>
      <c r="B14" s="31">
        <v>2</v>
      </c>
      <c r="C14" s="31">
        <v>4</v>
      </c>
      <c r="D14" s="31">
        <v>4</v>
      </c>
      <c r="E14" s="31">
        <v>3</v>
      </c>
      <c r="F14" s="31">
        <v>2</v>
      </c>
      <c r="G14" s="31">
        <v>5</v>
      </c>
      <c r="H14" s="31">
        <v>4</v>
      </c>
      <c r="I14" s="31">
        <v>2</v>
      </c>
      <c r="J14" s="31">
        <v>3</v>
      </c>
      <c r="K14" s="31">
        <v>4</v>
      </c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>
        <f t="shared" si="0"/>
        <v>37</v>
      </c>
      <c r="W14" s="39">
        <f>V14/L4*20</f>
        <v>67.27272727272728</v>
      </c>
      <c r="X14" s="40">
        <f t="shared" si="1"/>
        <v>48.654468194752951</v>
      </c>
      <c r="Y14" s="8" t="s">
        <v>182</v>
      </c>
      <c r="Z14" s="8"/>
      <c r="AA14" s="9"/>
    </row>
    <row r="15" spans="1:27" x14ac:dyDescent="0.2">
      <c r="A15" s="28">
        <v>4</v>
      </c>
      <c r="B15" s="31">
        <v>2</v>
      </c>
      <c r="C15" s="31">
        <v>2</v>
      </c>
      <c r="D15" s="31">
        <v>3</v>
      </c>
      <c r="E15" s="31">
        <v>3</v>
      </c>
      <c r="F15" s="31">
        <v>2</v>
      </c>
      <c r="G15" s="31">
        <v>5</v>
      </c>
      <c r="H15" s="31">
        <v>5</v>
      </c>
      <c r="I15" s="31">
        <v>2</v>
      </c>
      <c r="J15" s="31">
        <v>3</v>
      </c>
      <c r="K15" s="31">
        <v>4</v>
      </c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>
        <f t="shared" si="0"/>
        <v>35</v>
      </c>
      <c r="W15" s="39">
        <f>V15/L4*20</f>
        <v>63.636363636363633</v>
      </c>
      <c r="X15" s="40">
        <f t="shared" si="1"/>
        <v>41.612579187885778</v>
      </c>
      <c r="Y15" s="8" t="s">
        <v>183</v>
      </c>
      <c r="Z15" s="8"/>
      <c r="AA15" s="9"/>
    </row>
    <row r="16" spans="1:27" x14ac:dyDescent="0.2">
      <c r="A16" s="28">
        <v>5</v>
      </c>
      <c r="B16" s="31">
        <v>4</v>
      </c>
      <c r="C16" s="31">
        <v>4</v>
      </c>
      <c r="D16" s="31">
        <v>3</v>
      </c>
      <c r="E16" s="31">
        <v>3</v>
      </c>
      <c r="F16" s="31">
        <v>2</v>
      </c>
      <c r="G16" s="31">
        <v>3</v>
      </c>
      <c r="H16" s="31">
        <v>5</v>
      </c>
      <c r="I16" s="31">
        <v>3</v>
      </c>
      <c r="J16" s="31">
        <v>2</v>
      </c>
      <c r="K16" s="31">
        <v>3</v>
      </c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>
        <f t="shared" si="0"/>
        <v>36</v>
      </c>
      <c r="W16" s="39">
        <f>V16/L4*20</f>
        <v>65.454545454545453</v>
      </c>
      <c r="X16" s="40">
        <f t="shared" si="1"/>
        <v>54.773298313335452</v>
      </c>
      <c r="Y16" s="8" t="s">
        <v>184</v>
      </c>
      <c r="Z16" s="8"/>
      <c r="AA16" s="9"/>
    </row>
    <row r="17" spans="1:27" x14ac:dyDescent="0.2">
      <c r="A17" s="28">
        <v>6</v>
      </c>
      <c r="B17" s="31">
        <v>2</v>
      </c>
      <c r="C17" s="31">
        <v>2</v>
      </c>
      <c r="D17" s="31">
        <v>3</v>
      </c>
      <c r="E17" s="31">
        <v>2</v>
      </c>
      <c r="F17" s="31">
        <v>2</v>
      </c>
      <c r="G17" s="31">
        <v>3</v>
      </c>
      <c r="H17" s="31">
        <v>4</v>
      </c>
      <c r="I17" s="31">
        <v>2</v>
      </c>
      <c r="J17" s="31">
        <v>3</v>
      </c>
      <c r="K17" s="31">
        <v>3</v>
      </c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>
        <f t="shared" si="0"/>
        <v>30</v>
      </c>
      <c r="W17" s="39">
        <f>V17/L4*20</f>
        <v>54.54545454545454</v>
      </c>
      <c r="X17" s="40">
        <f t="shared" si="1"/>
        <v>60.687730344655179</v>
      </c>
      <c r="Y17" s="8" t="s">
        <v>185</v>
      </c>
      <c r="Z17" s="8"/>
      <c r="AA17" s="9"/>
    </row>
    <row r="18" spans="1:27" x14ac:dyDescent="0.2">
      <c r="A18" s="28">
        <v>7</v>
      </c>
      <c r="B18" s="31">
        <v>2</v>
      </c>
      <c r="C18" s="31">
        <v>2</v>
      </c>
      <c r="D18" s="31">
        <v>4</v>
      </c>
      <c r="E18" s="31">
        <v>4</v>
      </c>
      <c r="F18" s="31">
        <v>4</v>
      </c>
      <c r="G18" s="31">
        <v>5</v>
      </c>
      <c r="H18" s="31">
        <v>4</v>
      </c>
      <c r="I18" s="31">
        <v>4</v>
      </c>
      <c r="J18" s="31">
        <v>4</v>
      </c>
      <c r="K18" s="31">
        <v>4</v>
      </c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>
        <f t="shared" si="0"/>
        <v>41</v>
      </c>
      <c r="W18" s="39">
        <f>V18/L4*20</f>
        <v>74.545454545454547</v>
      </c>
      <c r="X18" s="40">
        <f t="shared" si="1"/>
        <v>54.773298313335452</v>
      </c>
      <c r="Y18" s="8" t="s">
        <v>186</v>
      </c>
      <c r="Z18" s="8"/>
      <c r="AA18" s="9"/>
    </row>
    <row r="19" spans="1:27" x14ac:dyDescent="0.2">
      <c r="A19" s="28">
        <v>8</v>
      </c>
      <c r="B19" s="31">
        <v>4</v>
      </c>
      <c r="C19" s="31">
        <v>2</v>
      </c>
      <c r="D19" s="31">
        <v>4</v>
      </c>
      <c r="E19" s="31">
        <v>4</v>
      </c>
      <c r="F19" s="31">
        <v>4</v>
      </c>
      <c r="G19" s="31">
        <v>5</v>
      </c>
      <c r="H19" s="31">
        <v>4</v>
      </c>
      <c r="I19" s="31">
        <v>4</v>
      </c>
      <c r="J19" s="31">
        <v>4</v>
      </c>
      <c r="K19" s="31">
        <v>4</v>
      </c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>
        <f t="shared" si="0"/>
        <v>43</v>
      </c>
      <c r="W19" s="39">
        <f>V19/L4*20</f>
        <v>78.181818181818187</v>
      </c>
      <c r="X19" s="40">
        <f t="shared" si="1"/>
        <v>64.967547512731471</v>
      </c>
      <c r="Y19" s="8" t="s">
        <v>187</v>
      </c>
      <c r="Z19" s="8"/>
      <c r="AA19" s="9"/>
    </row>
    <row r="20" spans="1:27" x14ac:dyDescent="0.2">
      <c r="A20" s="28">
        <v>9</v>
      </c>
      <c r="B20" s="31">
        <v>4</v>
      </c>
      <c r="C20" s="31">
        <v>4</v>
      </c>
      <c r="D20" s="31">
        <v>4</v>
      </c>
      <c r="E20" s="31">
        <v>4</v>
      </c>
      <c r="F20" s="31">
        <v>4</v>
      </c>
      <c r="G20" s="31">
        <v>5</v>
      </c>
      <c r="H20" s="31">
        <v>5</v>
      </c>
      <c r="I20" s="31">
        <v>4</v>
      </c>
      <c r="J20" s="31">
        <v>4</v>
      </c>
      <c r="K20" s="31">
        <v>4</v>
      </c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>
        <f t="shared" si="0"/>
        <v>46</v>
      </c>
      <c r="W20" s="39">
        <f>V20/L4*20</f>
        <v>83.636363636363626</v>
      </c>
      <c r="X20" s="40">
        <f t="shared" si="1"/>
        <v>79.774004126102739</v>
      </c>
      <c r="Y20" s="8" t="s">
        <v>188</v>
      </c>
      <c r="Z20" s="8"/>
      <c r="AA20" s="9"/>
    </row>
    <row r="21" spans="1:27" x14ac:dyDescent="0.2">
      <c r="A21" s="28">
        <v>10</v>
      </c>
      <c r="B21" s="31">
        <v>2</v>
      </c>
      <c r="C21" s="31">
        <v>3</v>
      </c>
      <c r="D21" s="31">
        <v>2</v>
      </c>
      <c r="E21" s="31">
        <v>3</v>
      </c>
      <c r="F21" s="31">
        <v>4</v>
      </c>
      <c r="G21" s="31">
        <v>5</v>
      </c>
      <c r="H21" s="31">
        <v>3</v>
      </c>
      <c r="I21" s="31">
        <v>3</v>
      </c>
      <c r="J21" s="31">
        <v>3</v>
      </c>
      <c r="K21" s="31">
        <v>3</v>
      </c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>
        <f t="shared" si="0"/>
        <v>35</v>
      </c>
      <c r="W21" s="39">
        <f>V21/L4*20</f>
        <v>63.636363636363633</v>
      </c>
      <c r="X21" s="40">
        <f t="shared" si="1"/>
        <v>56.306855124734852</v>
      </c>
      <c r="Y21" s="8" t="s">
        <v>189</v>
      </c>
      <c r="Z21" s="8"/>
      <c r="AA21" s="9"/>
    </row>
    <row r="22" spans="1:27" x14ac:dyDescent="0.2">
      <c r="A22" s="28">
        <v>11</v>
      </c>
      <c r="B22" s="31">
        <v>4</v>
      </c>
      <c r="C22" s="31">
        <v>2</v>
      </c>
      <c r="D22" s="31">
        <v>2</v>
      </c>
      <c r="E22" s="31">
        <v>4</v>
      </c>
      <c r="F22" s="31">
        <v>4</v>
      </c>
      <c r="G22" s="31">
        <v>5</v>
      </c>
      <c r="H22" s="31">
        <v>4</v>
      </c>
      <c r="I22" s="31">
        <v>4</v>
      </c>
      <c r="J22" s="31">
        <v>4</v>
      </c>
      <c r="K22" s="31">
        <v>4</v>
      </c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>
        <f t="shared" si="0"/>
        <v>41</v>
      </c>
      <c r="W22" s="39">
        <f>V22/L4*20</f>
        <v>74.545454545454547</v>
      </c>
      <c r="X22" s="40">
        <f t="shared" si="1"/>
        <v>54.773298313335452</v>
      </c>
      <c r="Y22" s="8" t="s">
        <v>190</v>
      </c>
      <c r="Z22" s="8"/>
      <c r="AA22" s="9"/>
    </row>
    <row r="23" spans="1:27" x14ac:dyDescent="0.2">
      <c r="A23" s="28">
        <v>12</v>
      </c>
      <c r="B23" s="31">
        <v>4</v>
      </c>
      <c r="C23" s="31">
        <v>4</v>
      </c>
      <c r="D23" s="31">
        <v>2</v>
      </c>
      <c r="E23" s="31">
        <v>3</v>
      </c>
      <c r="F23" s="31">
        <v>4</v>
      </c>
      <c r="G23" s="31">
        <v>4</v>
      </c>
      <c r="H23" s="31">
        <v>4</v>
      </c>
      <c r="I23" s="31">
        <v>2</v>
      </c>
      <c r="J23" s="31">
        <v>3</v>
      </c>
      <c r="K23" s="31">
        <v>4</v>
      </c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>
        <f t="shared" si="0"/>
        <v>38</v>
      </c>
      <c r="W23" s="39">
        <f>V23/L4*20</f>
        <v>69.090909090909093</v>
      </c>
      <c r="X23" s="40">
        <f t="shared" si="1"/>
        <v>58.990023386763781</v>
      </c>
      <c r="Y23" s="8" t="s">
        <v>191</v>
      </c>
      <c r="Z23" s="8"/>
      <c r="AA23" s="9"/>
    </row>
    <row r="24" spans="1:27" x14ac:dyDescent="0.2">
      <c r="A24" s="28">
        <v>13</v>
      </c>
      <c r="B24" s="31">
        <v>4</v>
      </c>
      <c r="C24" s="31">
        <v>4</v>
      </c>
      <c r="D24" s="31">
        <v>4</v>
      </c>
      <c r="E24" s="31">
        <v>4</v>
      </c>
      <c r="F24" s="31">
        <v>3</v>
      </c>
      <c r="G24" s="31">
        <v>4</v>
      </c>
      <c r="H24" s="31">
        <v>3</v>
      </c>
      <c r="I24" s="31">
        <v>2</v>
      </c>
      <c r="J24" s="31">
        <v>3</v>
      </c>
      <c r="K24" s="31">
        <v>4</v>
      </c>
      <c r="L24" s="31">
        <v>4</v>
      </c>
      <c r="M24" s="31"/>
      <c r="N24" s="31"/>
      <c r="O24" s="31"/>
      <c r="P24" s="31"/>
      <c r="Q24" s="31"/>
      <c r="R24" s="31"/>
      <c r="S24" s="31"/>
      <c r="T24" s="31"/>
      <c r="U24" s="31"/>
      <c r="V24" s="31">
        <f t="shared" si="0"/>
        <v>39</v>
      </c>
      <c r="W24" s="39">
        <f>V24/L4*20</f>
        <v>70.909090909090907</v>
      </c>
      <c r="X24" s="40">
        <f t="shared" si="1"/>
        <v>65.622417452383559</v>
      </c>
      <c r="Y24" s="12" t="s">
        <v>192</v>
      </c>
      <c r="Z24" s="12"/>
      <c r="AA24" s="13"/>
    </row>
    <row r="25" spans="1:27" x14ac:dyDescent="0.2">
      <c r="A25" s="28" t="s">
        <v>126</v>
      </c>
      <c r="B25" s="31">
        <f t="shared" ref="B25:U25" si="2">SUM(B12:B24)</f>
        <v>38</v>
      </c>
      <c r="C25" s="31">
        <f t="shared" si="2"/>
        <v>37</v>
      </c>
      <c r="D25" s="31">
        <f t="shared" si="2"/>
        <v>43</v>
      </c>
      <c r="E25" s="31">
        <f t="shared" si="2"/>
        <v>44</v>
      </c>
      <c r="F25" s="31">
        <f t="shared" si="2"/>
        <v>42</v>
      </c>
      <c r="G25" s="31">
        <f t="shared" si="2"/>
        <v>57</v>
      </c>
      <c r="H25" s="31">
        <f t="shared" si="2"/>
        <v>52</v>
      </c>
      <c r="I25" s="31">
        <f t="shared" si="2"/>
        <v>38</v>
      </c>
      <c r="J25" s="31">
        <f t="shared" si="2"/>
        <v>42</v>
      </c>
      <c r="K25" s="31">
        <f t="shared" si="2"/>
        <v>45</v>
      </c>
      <c r="L25" s="31">
        <f t="shared" si="2"/>
        <v>52</v>
      </c>
      <c r="M25" s="31">
        <f t="shared" si="2"/>
        <v>0</v>
      </c>
      <c r="N25" s="31">
        <f t="shared" si="2"/>
        <v>0</v>
      </c>
      <c r="O25" s="31">
        <f t="shared" si="2"/>
        <v>0</v>
      </c>
      <c r="P25" s="31">
        <f t="shared" si="2"/>
        <v>0</v>
      </c>
      <c r="Q25" s="31">
        <f t="shared" si="2"/>
        <v>0</v>
      </c>
      <c r="R25" s="31">
        <f t="shared" si="2"/>
        <v>0</v>
      </c>
      <c r="S25" s="31">
        <f t="shared" si="2"/>
        <v>0</v>
      </c>
      <c r="T25" s="31">
        <f t="shared" si="2"/>
        <v>0</v>
      </c>
      <c r="U25" s="31">
        <f t="shared" si="2"/>
        <v>0</v>
      </c>
      <c r="V25" s="31">
        <f>SUM(B25:U25)</f>
        <v>490</v>
      </c>
    </row>
    <row r="26" spans="1:27" x14ac:dyDescent="0.2">
      <c r="A26" s="28" t="s">
        <v>127</v>
      </c>
      <c r="B26" s="32">
        <f t="shared" ref="B26:U26" si="3">B25*B25</f>
        <v>1444</v>
      </c>
      <c r="C26" s="32">
        <f t="shared" si="3"/>
        <v>1369</v>
      </c>
      <c r="D26" s="32">
        <f t="shared" si="3"/>
        <v>1849</v>
      </c>
      <c r="E26" s="32">
        <f t="shared" si="3"/>
        <v>1936</v>
      </c>
      <c r="F26" s="32">
        <f t="shared" si="3"/>
        <v>1764</v>
      </c>
      <c r="G26" s="32">
        <f t="shared" si="3"/>
        <v>3249</v>
      </c>
      <c r="H26" s="32">
        <f t="shared" si="3"/>
        <v>2704</v>
      </c>
      <c r="I26" s="32">
        <f t="shared" si="3"/>
        <v>1444</v>
      </c>
      <c r="J26" s="32">
        <f t="shared" si="3"/>
        <v>1764</v>
      </c>
      <c r="K26" s="32">
        <f t="shared" si="3"/>
        <v>2025</v>
      </c>
      <c r="L26" s="32">
        <f t="shared" si="3"/>
        <v>2704</v>
      </c>
      <c r="M26" s="32">
        <f t="shared" si="3"/>
        <v>0</v>
      </c>
      <c r="N26" s="32">
        <f t="shared" si="3"/>
        <v>0</v>
      </c>
      <c r="O26" s="32">
        <f t="shared" si="3"/>
        <v>0</v>
      </c>
      <c r="P26" s="32">
        <f t="shared" si="3"/>
        <v>0</v>
      </c>
      <c r="Q26" s="32">
        <f t="shared" si="3"/>
        <v>0</v>
      </c>
      <c r="R26" s="32">
        <f t="shared" si="3"/>
        <v>0</v>
      </c>
      <c r="S26" s="32">
        <f t="shared" si="3"/>
        <v>0</v>
      </c>
      <c r="T26" s="32">
        <f t="shared" si="3"/>
        <v>0</v>
      </c>
      <c r="U26" s="32">
        <f t="shared" si="3"/>
        <v>0</v>
      </c>
      <c r="V26" s="32">
        <f>SUM(B26:U26)</f>
        <v>22252</v>
      </c>
    </row>
    <row r="41" spans="1:28" x14ac:dyDescent="0.2">
      <c r="A41" s="2" t="s">
        <v>21</v>
      </c>
    </row>
    <row r="42" spans="1:28" x14ac:dyDescent="0.2">
      <c r="A42" s="28" t="s">
        <v>1</v>
      </c>
      <c r="B42" s="31" t="s">
        <v>110</v>
      </c>
      <c r="C42" s="31" t="s">
        <v>111</v>
      </c>
      <c r="D42" s="31" t="s">
        <v>112</v>
      </c>
      <c r="E42" s="31" t="s">
        <v>113</v>
      </c>
      <c r="F42" s="31" t="s">
        <v>114</v>
      </c>
      <c r="G42" s="31" t="s">
        <v>115</v>
      </c>
      <c r="H42" s="31" t="s">
        <v>116</v>
      </c>
      <c r="I42" s="31" t="s">
        <v>117</v>
      </c>
      <c r="J42" s="31" t="s">
        <v>118</v>
      </c>
      <c r="K42" s="31" t="s">
        <v>119</v>
      </c>
      <c r="L42" s="31" t="s">
        <v>120</v>
      </c>
      <c r="M42" s="31" t="s">
        <v>121</v>
      </c>
      <c r="N42" s="31" t="s">
        <v>122</v>
      </c>
      <c r="O42" s="31" t="s">
        <v>123</v>
      </c>
      <c r="P42" s="31" t="s">
        <v>124</v>
      </c>
      <c r="Q42" s="31" t="s">
        <v>12</v>
      </c>
      <c r="R42" s="31" t="s">
        <v>14</v>
      </c>
      <c r="S42" s="31" t="s">
        <v>15</v>
      </c>
      <c r="T42" s="31" t="s">
        <v>16</v>
      </c>
      <c r="U42" s="31" t="s">
        <v>17</v>
      </c>
      <c r="V42" t="s">
        <v>22</v>
      </c>
      <c r="W42" t="s">
        <v>10</v>
      </c>
      <c r="X42" t="s">
        <v>11</v>
      </c>
      <c r="Y42" t="s">
        <v>122</v>
      </c>
      <c r="Z42" t="s">
        <v>12</v>
      </c>
      <c r="AA42" t="s">
        <v>19</v>
      </c>
      <c r="AB42" t="s">
        <v>3</v>
      </c>
    </row>
    <row r="43" spans="1:28" x14ac:dyDescent="0.2">
      <c r="A43" s="28">
        <v>1</v>
      </c>
      <c r="B43" s="31">
        <f t="shared" ref="B43:U43" si="4">B12*B12</f>
        <v>4</v>
      </c>
      <c r="C43" s="31">
        <f t="shared" si="4"/>
        <v>4</v>
      </c>
      <c r="D43" s="31">
        <f t="shared" si="4"/>
        <v>16</v>
      </c>
      <c r="E43" s="31">
        <f t="shared" si="4"/>
        <v>16</v>
      </c>
      <c r="F43" s="31">
        <f t="shared" si="4"/>
        <v>16</v>
      </c>
      <c r="G43" s="31">
        <f t="shared" si="4"/>
        <v>25</v>
      </c>
      <c r="H43" s="31">
        <f t="shared" si="4"/>
        <v>16</v>
      </c>
      <c r="I43" s="31">
        <f t="shared" si="4"/>
        <v>16</v>
      </c>
      <c r="J43" s="31">
        <f t="shared" si="4"/>
        <v>9</v>
      </c>
      <c r="K43" s="31">
        <f t="shared" si="4"/>
        <v>4</v>
      </c>
      <c r="L43" s="31">
        <f t="shared" si="4"/>
        <v>16</v>
      </c>
      <c r="M43" s="31">
        <f t="shared" si="4"/>
        <v>0</v>
      </c>
      <c r="N43" s="31">
        <f t="shared" si="4"/>
        <v>0</v>
      </c>
      <c r="O43" s="31">
        <f t="shared" si="4"/>
        <v>0</v>
      </c>
      <c r="P43" s="31">
        <f t="shared" si="4"/>
        <v>0</v>
      </c>
      <c r="Q43" s="31">
        <f t="shared" si="4"/>
        <v>0</v>
      </c>
      <c r="R43" s="31">
        <f t="shared" si="4"/>
        <v>0</v>
      </c>
      <c r="S43" s="31">
        <f t="shared" si="4"/>
        <v>0</v>
      </c>
      <c r="T43" s="31">
        <f t="shared" si="4"/>
        <v>0</v>
      </c>
      <c r="U43" s="31">
        <f t="shared" si="4"/>
        <v>0</v>
      </c>
      <c r="V43">
        <f t="shared" ref="V43:V53" si="5">SUM(B43:U43)</f>
        <v>142</v>
      </c>
      <c r="W43">
        <f t="shared" ref="W43:W55" si="6">V12*V12</f>
        <v>1444</v>
      </c>
      <c r="X43">
        <f>L4*(L4-1)</f>
        <v>110</v>
      </c>
      <c r="Y43">
        <f>L4*V43-W43</f>
        <v>118</v>
      </c>
      <c r="Z43">
        <f t="shared" ref="Z43:Z53" si="7">Y43/X43</f>
        <v>1.0727272727272728</v>
      </c>
      <c r="AA43">
        <f t="shared" ref="AA43:AA53" si="8">SQRT(Z43)</f>
        <v>1.0357254813546264</v>
      </c>
      <c r="AB43">
        <f t="shared" ref="AB43:AB53" si="9">AA43/4*100</f>
        <v>25.89313703386566</v>
      </c>
    </row>
    <row r="44" spans="1:28" x14ac:dyDescent="0.2">
      <c r="A44" s="28">
        <v>2</v>
      </c>
      <c r="B44" s="31">
        <f t="shared" ref="B44:U44" si="10">B13*B13</f>
        <v>4</v>
      </c>
      <c r="C44" s="31">
        <f t="shared" si="10"/>
        <v>4</v>
      </c>
      <c r="D44" s="31">
        <f t="shared" si="10"/>
        <v>16</v>
      </c>
      <c r="E44" s="31">
        <f t="shared" si="10"/>
        <v>9</v>
      </c>
      <c r="F44" s="31">
        <f t="shared" si="10"/>
        <v>9</v>
      </c>
      <c r="G44" s="31">
        <f t="shared" si="10"/>
        <v>9</v>
      </c>
      <c r="H44" s="31">
        <f t="shared" si="10"/>
        <v>9</v>
      </c>
      <c r="I44" s="31">
        <f t="shared" si="10"/>
        <v>4</v>
      </c>
      <c r="J44" s="31">
        <f t="shared" si="10"/>
        <v>9</v>
      </c>
      <c r="K44" s="31">
        <f t="shared" si="10"/>
        <v>4</v>
      </c>
      <c r="L44" s="31">
        <f t="shared" si="10"/>
        <v>16</v>
      </c>
      <c r="M44" s="31">
        <f t="shared" si="10"/>
        <v>0</v>
      </c>
      <c r="N44" s="31">
        <f t="shared" si="10"/>
        <v>0</v>
      </c>
      <c r="O44" s="31">
        <f t="shared" si="10"/>
        <v>0</v>
      </c>
      <c r="P44" s="31">
        <f t="shared" si="10"/>
        <v>0</v>
      </c>
      <c r="Q44" s="31">
        <f t="shared" si="10"/>
        <v>0</v>
      </c>
      <c r="R44" s="31">
        <f t="shared" si="10"/>
        <v>0</v>
      </c>
      <c r="S44" s="31">
        <f t="shared" si="10"/>
        <v>0</v>
      </c>
      <c r="T44" s="31">
        <f t="shared" si="10"/>
        <v>0</v>
      </c>
      <c r="U44" s="31">
        <f t="shared" si="10"/>
        <v>0</v>
      </c>
      <c r="V44">
        <f t="shared" si="5"/>
        <v>93</v>
      </c>
      <c r="W44">
        <f t="shared" si="6"/>
        <v>961</v>
      </c>
      <c r="X44">
        <f>L4*(L4-1)</f>
        <v>110</v>
      </c>
      <c r="Y44">
        <f>L4*V44-W44</f>
        <v>62</v>
      </c>
      <c r="Z44">
        <f t="shared" si="7"/>
        <v>0.5636363636363636</v>
      </c>
      <c r="AA44">
        <f t="shared" si="8"/>
        <v>0.75075719352954828</v>
      </c>
      <c r="AB44">
        <f t="shared" si="9"/>
        <v>18.768929838238709</v>
      </c>
    </row>
    <row r="45" spans="1:28" x14ac:dyDescent="0.2">
      <c r="A45" s="28">
        <v>3</v>
      </c>
      <c r="B45" s="31">
        <f t="shared" ref="B45:U45" si="11">B14*B14</f>
        <v>4</v>
      </c>
      <c r="C45" s="31">
        <f t="shared" si="11"/>
        <v>16</v>
      </c>
      <c r="D45" s="31">
        <f t="shared" si="11"/>
        <v>16</v>
      </c>
      <c r="E45" s="31">
        <f t="shared" si="11"/>
        <v>9</v>
      </c>
      <c r="F45" s="31">
        <f t="shared" si="11"/>
        <v>4</v>
      </c>
      <c r="G45" s="31">
        <f t="shared" si="11"/>
        <v>25</v>
      </c>
      <c r="H45" s="31">
        <f t="shared" si="11"/>
        <v>16</v>
      </c>
      <c r="I45" s="31">
        <f t="shared" si="11"/>
        <v>4</v>
      </c>
      <c r="J45" s="31">
        <f t="shared" si="11"/>
        <v>9</v>
      </c>
      <c r="K45" s="31">
        <f t="shared" si="11"/>
        <v>16</v>
      </c>
      <c r="L45" s="31">
        <f t="shared" si="11"/>
        <v>16</v>
      </c>
      <c r="M45" s="31">
        <f t="shared" si="11"/>
        <v>0</v>
      </c>
      <c r="N45" s="31">
        <f t="shared" si="11"/>
        <v>0</v>
      </c>
      <c r="O45" s="31">
        <f t="shared" si="11"/>
        <v>0</v>
      </c>
      <c r="P45" s="31">
        <f t="shared" si="11"/>
        <v>0</v>
      </c>
      <c r="Q45" s="31">
        <f t="shared" si="11"/>
        <v>0</v>
      </c>
      <c r="R45" s="31">
        <f t="shared" si="11"/>
        <v>0</v>
      </c>
      <c r="S45" s="31">
        <f t="shared" si="11"/>
        <v>0</v>
      </c>
      <c r="T45" s="31">
        <f t="shared" si="11"/>
        <v>0</v>
      </c>
      <c r="U45" s="31">
        <f t="shared" si="11"/>
        <v>0</v>
      </c>
      <c r="V45">
        <f t="shared" si="5"/>
        <v>135</v>
      </c>
      <c r="W45">
        <f t="shared" si="6"/>
        <v>1369</v>
      </c>
      <c r="X45">
        <f>L4*(L4-1)</f>
        <v>110</v>
      </c>
      <c r="Y45">
        <f>L4*V45-W45</f>
        <v>116</v>
      </c>
      <c r="Z45">
        <f t="shared" si="7"/>
        <v>1.0545454545454545</v>
      </c>
      <c r="AA45">
        <f t="shared" si="8"/>
        <v>1.0269106361049409</v>
      </c>
      <c r="AB45">
        <f t="shared" si="9"/>
        <v>25.672765902623524</v>
      </c>
    </row>
    <row r="46" spans="1:28" x14ac:dyDescent="0.2">
      <c r="A46" s="28">
        <v>4</v>
      </c>
      <c r="B46" s="31">
        <f t="shared" ref="B46:U46" si="12">B15*B15</f>
        <v>4</v>
      </c>
      <c r="C46" s="31">
        <f t="shared" si="12"/>
        <v>4</v>
      </c>
      <c r="D46" s="31">
        <f t="shared" si="12"/>
        <v>9</v>
      </c>
      <c r="E46" s="31">
        <f t="shared" si="12"/>
        <v>9</v>
      </c>
      <c r="F46" s="31">
        <f t="shared" si="12"/>
        <v>4</v>
      </c>
      <c r="G46" s="31">
        <f t="shared" si="12"/>
        <v>25</v>
      </c>
      <c r="H46" s="31">
        <f t="shared" si="12"/>
        <v>25</v>
      </c>
      <c r="I46" s="31">
        <f t="shared" si="12"/>
        <v>4</v>
      </c>
      <c r="J46" s="31">
        <f t="shared" si="12"/>
        <v>9</v>
      </c>
      <c r="K46" s="31">
        <f t="shared" si="12"/>
        <v>16</v>
      </c>
      <c r="L46" s="31">
        <f t="shared" si="12"/>
        <v>16</v>
      </c>
      <c r="M46" s="31">
        <f t="shared" si="12"/>
        <v>0</v>
      </c>
      <c r="N46" s="31">
        <f t="shared" si="12"/>
        <v>0</v>
      </c>
      <c r="O46" s="31">
        <f t="shared" si="12"/>
        <v>0</v>
      </c>
      <c r="P46" s="31">
        <f t="shared" si="12"/>
        <v>0</v>
      </c>
      <c r="Q46" s="31">
        <f t="shared" si="12"/>
        <v>0</v>
      </c>
      <c r="R46" s="31">
        <f t="shared" si="12"/>
        <v>0</v>
      </c>
      <c r="S46" s="31">
        <f t="shared" si="12"/>
        <v>0</v>
      </c>
      <c r="T46" s="31">
        <f t="shared" si="12"/>
        <v>0</v>
      </c>
      <c r="U46" s="31">
        <f t="shared" si="12"/>
        <v>0</v>
      </c>
      <c r="V46">
        <f t="shared" si="5"/>
        <v>125</v>
      </c>
      <c r="W46">
        <f t="shared" si="6"/>
        <v>1225</v>
      </c>
      <c r="X46">
        <f>L4*(L4-1)</f>
        <v>110</v>
      </c>
      <c r="Y46">
        <f>L4*V46-W46</f>
        <v>150</v>
      </c>
      <c r="Z46">
        <f t="shared" si="7"/>
        <v>1.3636363636363635</v>
      </c>
      <c r="AA46">
        <f t="shared" si="8"/>
        <v>1.1677484162422844</v>
      </c>
      <c r="AB46">
        <f t="shared" si="9"/>
        <v>29.193710406057111</v>
      </c>
    </row>
    <row r="47" spans="1:28" x14ac:dyDescent="0.2">
      <c r="A47" s="28">
        <v>5</v>
      </c>
      <c r="B47" s="31">
        <f t="shared" ref="B47:U47" si="13">B16*B16</f>
        <v>16</v>
      </c>
      <c r="C47" s="31">
        <f t="shared" si="13"/>
        <v>16</v>
      </c>
      <c r="D47" s="31">
        <f t="shared" si="13"/>
        <v>9</v>
      </c>
      <c r="E47" s="31">
        <f t="shared" si="13"/>
        <v>9</v>
      </c>
      <c r="F47" s="31">
        <f t="shared" si="13"/>
        <v>4</v>
      </c>
      <c r="G47" s="31">
        <f t="shared" si="13"/>
        <v>9</v>
      </c>
      <c r="H47" s="31">
        <f t="shared" si="13"/>
        <v>25</v>
      </c>
      <c r="I47" s="31">
        <f t="shared" si="13"/>
        <v>9</v>
      </c>
      <c r="J47" s="31">
        <f t="shared" si="13"/>
        <v>4</v>
      </c>
      <c r="K47" s="31">
        <f t="shared" si="13"/>
        <v>9</v>
      </c>
      <c r="L47" s="31">
        <f t="shared" si="13"/>
        <v>16</v>
      </c>
      <c r="M47" s="31">
        <f t="shared" si="13"/>
        <v>0</v>
      </c>
      <c r="N47" s="31">
        <f t="shared" si="13"/>
        <v>0</v>
      </c>
      <c r="O47" s="31">
        <f t="shared" si="13"/>
        <v>0</v>
      </c>
      <c r="P47" s="31">
        <f t="shared" si="13"/>
        <v>0</v>
      </c>
      <c r="Q47" s="31">
        <f t="shared" si="13"/>
        <v>0</v>
      </c>
      <c r="R47" s="31">
        <f t="shared" si="13"/>
        <v>0</v>
      </c>
      <c r="S47" s="31">
        <f t="shared" si="13"/>
        <v>0</v>
      </c>
      <c r="T47" s="31">
        <f t="shared" si="13"/>
        <v>0</v>
      </c>
      <c r="U47" s="31">
        <f t="shared" si="13"/>
        <v>0</v>
      </c>
      <c r="V47">
        <f t="shared" si="5"/>
        <v>126</v>
      </c>
      <c r="W47">
        <f t="shared" si="6"/>
        <v>1296</v>
      </c>
      <c r="X47">
        <f>L4*(L4-1)</f>
        <v>110</v>
      </c>
      <c r="Y47">
        <f>L4*V47-W47</f>
        <v>90</v>
      </c>
      <c r="Z47">
        <f t="shared" si="7"/>
        <v>0.81818181818181823</v>
      </c>
      <c r="AA47">
        <f t="shared" si="8"/>
        <v>0.90453403373329089</v>
      </c>
      <c r="AB47">
        <f t="shared" si="9"/>
        <v>22.613350843332274</v>
      </c>
    </row>
    <row r="48" spans="1:28" x14ac:dyDescent="0.2">
      <c r="A48" s="28">
        <v>6</v>
      </c>
      <c r="B48" s="31">
        <f t="shared" ref="B48:U48" si="14">B17*B17</f>
        <v>4</v>
      </c>
      <c r="C48" s="31">
        <f t="shared" si="14"/>
        <v>4</v>
      </c>
      <c r="D48" s="31">
        <f t="shared" si="14"/>
        <v>9</v>
      </c>
      <c r="E48" s="31">
        <f t="shared" si="14"/>
        <v>4</v>
      </c>
      <c r="F48" s="31">
        <f t="shared" si="14"/>
        <v>4</v>
      </c>
      <c r="G48" s="31">
        <f t="shared" si="14"/>
        <v>9</v>
      </c>
      <c r="H48" s="31">
        <f t="shared" si="14"/>
        <v>16</v>
      </c>
      <c r="I48" s="31">
        <f t="shared" si="14"/>
        <v>4</v>
      </c>
      <c r="J48" s="31">
        <f t="shared" si="14"/>
        <v>9</v>
      </c>
      <c r="K48" s="31">
        <f t="shared" si="14"/>
        <v>9</v>
      </c>
      <c r="L48" s="31">
        <f t="shared" si="14"/>
        <v>16</v>
      </c>
      <c r="M48" s="31">
        <f t="shared" si="14"/>
        <v>0</v>
      </c>
      <c r="N48" s="31">
        <f t="shared" si="14"/>
        <v>0</v>
      </c>
      <c r="O48" s="31">
        <f t="shared" si="14"/>
        <v>0</v>
      </c>
      <c r="P48" s="31">
        <f t="shared" si="14"/>
        <v>0</v>
      </c>
      <c r="Q48" s="31">
        <f t="shared" si="14"/>
        <v>0</v>
      </c>
      <c r="R48" s="31">
        <f t="shared" si="14"/>
        <v>0</v>
      </c>
      <c r="S48" s="31">
        <f t="shared" si="14"/>
        <v>0</v>
      </c>
      <c r="T48" s="31">
        <f t="shared" si="14"/>
        <v>0</v>
      </c>
      <c r="U48" s="31">
        <f t="shared" si="14"/>
        <v>0</v>
      </c>
      <c r="V48">
        <f t="shared" si="5"/>
        <v>88</v>
      </c>
      <c r="W48">
        <f t="shared" si="6"/>
        <v>900</v>
      </c>
      <c r="X48">
        <f>L4*(L4-1)</f>
        <v>110</v>
      </c>
      <c r="Y48">
        <f>L4*V48-W48</f>
        <v>68</v>
      </c>
      <c r="Z48">
        <f t="shared" si="7"/>
        <v>0.61818181818181817</v>
      </c>
      <c r="AA48">
        <f t="shared" si="8"/>
        <v>0.78624539310689645</v>
      </c>
      <c r="AB48">
        <f t="shared" si="9"/>
        <v>19.65613482767241</v>
      </c>
    </row>
    <row r="49" spans="1:28" x14ac:dyDescent="0.2">
      <c r="A49" s="28">
        <v>7</v>
      </c>
      <c r="B49" s="31">
        <f t="shared" ref="B49:U49" si="15">B18*B18</f>
        <v>4</v>
      </c>
      <c r="C49" s="31">
        <f t="shared" si="15"/>
        <v>4</v>
      </c>
      <c r="D49" s="31">
        <f t="shared" si="15"/>
        <v>16</v>
      </c>
      <c r="E49" s="31">
        <f t="shared" si="15"/>
        <v>16</v>
      </c>
      <c r="F49" s="31">
        <f t="shared" si="15"/>
        <v>16</v>
      </c>
      <c r="G49" s="31">
        <f t="shared" si="15"/>
        <v>25</v>
      </c>
      <c r="H49" s="31">
        <f t="shared" si="15"/>
        <v>16</v>
      </c>
      <c r="I49" s="31">
        <f t="shared" si="15"/>
        <v>16</v>
      </c>
      <c r="J49" s="31">
        <f t="shared" si="15"/>
        <v>16</v>
      </c>
      <c r="K49" s="31">
        <f t="shared" si="15"/>
        <v>16</v>
      </c>
      <c r="L49" s="31">
        <f t="shared" si="15"/>
        <v>16</v>
      </c>
      <c r="M49" s="31">
        <f t="shared" si="15"/>
        <v>0</v>
      </c>
      <c r="N49" s="31">
        <f t="shared" si="15"/>
        <v>0</v>
      </c>
      <c r="O49" s="31">
        <f t="shared" si="15"/>
        <v>0</v>
      </c>
      <c r="P49" s="31">
        <f t="shared" si="15"/>
        <v>0</v>
      </c>
      <c r="Q49" s="31">
        <f t="shared" si="15"/>
        <v>0</v>
      </c>
      <c r="R49" s="31">
        <f t="shared" si="15"/>
        <v>0</v>
      </c>
      <c r="S49" s="31">
        <f t="shared" si="15"/>
        <v>0</v>
      </c>
      <c r="T49" s="31">
        <f t="shared" si="15"/>
        <v>0</v>
      </c>
      <c r="U49" s="31">
        <f t="shared" si="15"/>
        <v>0</v>
      </c>
      <c r="V49">
        <f t="shared" si="5"/>
        <v>161</v>
      </c>
      <c r="W49">
        <f t="shared" si="6"/>
        <v>1681</v>
      </c>
      <c r="X49">
        <f>L4*(L4-1)</f>
        <v>110</v>
      </c>
      <c r="Y49">
        <f>L4*V49-W49</f>
        <v>90</v>
      </c>
      <c r="Z49">
        <f t="shared" si="7"/>
        <v>0.81818181818181823</v>
      </c>
      <c r="AA49">
        <f t="shared" si="8"/>
        <v>0.90453403373329089</v>
      </c>
      <c r="AB49">
        <f t="shared" si="9"/>
        <v>22.613350843332274</v>
      </c>
    </row>
    <row r="50" spans="1:28" x14ac:dyDescent="0.2">
      <c r="A50" s="28">
        <v>8</v>
      </c>
      <c r="B50" s="31">
        <f t="shared" ref="B50:U50" si="16">B19*B19</f>
        <v>16</v>
      </c>
      <c r="C50" s="31">
        <f t="shared" si="16"/>
        <v>4</v>
      </c>
      <c r="D50" s="31">
        <f t="shared" si="16"/>
        <v>16</v>
      </c>
      <c r="E50" s="31">
        <f t="shared" si="16"/>
        <v>16</v>
      </c>
      <c r="F50" s="31">
        <f t="shared" si="16"/>
        <v>16</v>
      </c>
      <c r="G50" s="31">
        <f t="shared" si="16"/>
        <v>25</v>
      </c>
      <c r="H50" s="31">
        <f t="shared" si="16"/>
        <v>16</v>
      </c>
      <c r="I50" s="31">
        <f t="shared" si="16"/>
        <v>16</v>
      </c>
      <c r="J50" s="31">
        <f t="shared" si="16"/>
        <v>16</v>
      </c>
      <c r="K50" s="31">
        <f t="shared" si="16"/>
        <v>16</v>
      </c>
      <c r="L50" s="31">
        <f t="shared" si="16"/>
        <v>16</v>
      </c>
      <c r="M50" s="31">
        <f t="shared" si="16"/>
        <v>0</v>
      </c>
      <c r="N50" s="31">
        <f t="shared" si="16"/>
        <v>0</v>
      </c>
      <c r="O50" s="31">
        <f t="shared" si="16"/>
        <v>0</v>
      </c>
      <c r="P50" s="31">
        <f t="shared" si="16"/>
        <v>0</v>
      </c>
      <c r="Q50" s="31">
        <f t="shared" si="16"/>
        <v>0</v>
      </c>
      <c r="R50" s="31">
        <f t="shared" si="16"/>
        <v>0</v>
      </c>
      <c r="S50" s="31">
        <f t="shared" si="16"/>
        <v>0</v>
      </c>
      <c r="T50" s="31">
        <f t="shared" si="16"/>
        <v>0</v>
      </c>
      <c r="U50" s="31">
        <f t="shared" si="16"/>
        <v>0</v>
      </c>
      <c r="V50">
        <f t="shared" si="5"/>
        <v>173</v>
      </c>
      <c r="W50">
        <f t="shared" si="6"/>
        <v>1849</v>
      </c>
      <c r="X50">
        <f>L4*(L4-1)</f>
        <v>110</v>
      </c>
      <c r="Y50">
        <f>L4*V50-W50</f>
        <v>54</v>
      </c>
      <c r="Z50">
        <f t="shared" si="7"/>
        <v>0.49090909090909091</v>
      </c>
      <c r="AA50">
        <f t="shared" si="8"/>
        <v>0.70064904974537068</v>
      </c>
      <c r="AB50">
        <f t="shared" si="9"/>
        <v>17.516226243634268</v>
      </c>
    </row>
    <row r="51" spans="1:28" x14ac:dyDescent="0.2">
      <c r="A51" s="28">
        <v>9</v>
      </c>
      <c r="B51" s="31">
        <f t="shared" ref="B51:U51" si="17">B20*B20</f>
        <v>16</v>
      </c>
      <c r="C51" s="31">
        <f t="shared" si="17"/>
        <v>16</v>
      </c>
      <c r="D51" s="31">
        <f t="shared" si="17"/>
        <v>16</v>
      </c>
      <c r="E51" s="31">
        <f t="shared" si="17"/>
        <v>16</v>
      </c>
      <c r="F51" s="31">
        <f t="shared" si="17"/>
        <v>16</v>
      </c>
      <c r="G51" s="31">
        <f t="shared" si="17"/>
        <v>25</v>
      </c>
      <c r="H51" s="31">
        <f t="shared" si="17"/>
        <v>25</v>
      </c>
      <c r="I51" s="31">
        <f t="shared" si="17"/>
        <v>16</v>
      </c>
      <c r="J51" s="31">
        <f t="shared" si="17"/>
        <v>16</v>
      </c>
      <c r="K51" s="31">
        <f t="shared" si="17"/>
        <v>16</v>
      </c>
      <c r="L51" s="31">
        <f t="shared" si="17"/>
        <v>16</v>
      </c>
      <c r="M51" s="31">
        <f t="shared" si="17"/>
        <v>0</v>
      </c>
      <c r="N51" s="31">
        <f t="shared" si="17"/>
        <v>0</v>
      </c>
      <c r="O51" s="31">
        <f t="shared" si="17"/>
        <v>0</v>
      </c>
      <c r="P51" s="31">
        <f t="shared" si="17"/>
        <v>0</v>
      </c>
      <c r="Q51" s="31">
        <f t="shared" si="17"/>
        <v>0</v>
      </c>
      <c r="R51" s="31">
        <f t="shared" si="17"/>
        <v>0</v>
      </c>
      <c r="S51" s="31">
        <f t="shared" si="17"/>
        <v>0</v>
      </c>
      <c r="T51" s="31">
        <f t="shared" si="17"/>
        <v>0</v>
      </c>
      <c r="U51" s="31">
        <f t="shared" si="17"/>
        <v>0</v>
      </c>
      <c r="V51">
        <f t="shared" si="5"/>
        <v>194</v>
      </c>
      <c r="W51">
        <f t="shared" si="6"/>
        <v>2116</v>
      </c>
      <c r="X51">
        <f>L4*(L4-1)</f>
        <v>110</v>
      </c>
      <c r="Y51">
        <f>L4*V51-W51</f>
        <v>18</v>
      </c>
      <c r="Z51">
        <f t="shared" si="7"/>
        <v>0.16363636363636364</v>
      </c>
      <c r="AA51">
        <f t="shared" si="8"/>
        <v>0.40451991747794525</v>
      </c>
      <c r="AB51">
        <f t="shared" si="9"/>
        <v>10.112997936948631</v>
      </c>
    </row>
    <row r="52" spans="1:28" x14ac:dyDescent="0.2">
      <c r="A52" s="28">
        <v>10</v>
      </c>
      <c r="B52" s="31">
        <f t="shared" ref="B52:U52" si="18">B21*B21</f>
        <v>4</v>
      </c>
      <c r="C52" s="31">
        <f t="shared" si="18"/>
        <v>9</v>
      </c>
      <c r="D52" s="31">
        <f t="shared" si="18"/>
        <v>4</v>
      </c>
      <c r="E52" s="31">
        <f t="shared" si="18"/>
        <v>9</v>
      </c>
      <c r="F52" s="31">
        <f t="shared" si="18"/>
        <v>16</v>
      </c>
      <c r="G52" s="31">
        <f t="shared" si="18"/>
        <v>25</v>
      </c>
      <c r="H52" s="31">
        <f t="shared" si="18"/>
        <v>9</v>
      </c>
      <c r="I52" s="31">
        <f t="shared" si="18"/>
        <v>9</v>
      </c>
      <c r="J52" s="31">
        <f t="shared" si="18"/>
        <v>9</v>
      </c>
      <c r="K52" s="31">
        <f t="shared" si="18"/>
        <v>9</v>
      </c>
      <c r="L52" s="31">
        <f t="shared" si="18"/>
        <v>16</v>
      </c>
      <c r="M52" s="31">
        <f t="shared" si="18"/>
        <v>0</v>
      </c>
      <c r="N52" s="31">
        <f t="shared" si="18"/>
        <v>0</v>
      </c>
      <c r="O52" s="31">
        <f t="shared" si="18"/>
        <v>0</v>
      </c>
      <c r="P52" s="31">
        <f t="shared" si="18"/>
        <v>0</v>
      </c>
      <c r="Q52" s="31">
        <f t="shared" si="18"/>
        <v>0</v>
      </c>
      <c r="R52" s="31">
        <f t="shared" si="18"/>
        <v>0</v>
      </c>
      <c r="S52" s="31">
        <f t="shared" si="18"/>
        <v>0</v>
      </c>
      <c r="T52" s="31">
        <f t="shared" si="18"/>
        <v>0</v>
      </c>
      <c r="U52" s="31">
        <f t="shared" si="18"/>
        <v>0</v>
      </c>
      <c r="V52">
        <f t="shared" si="5"/>
        <v>119</v>
      </c>
      <c r="W52">
        <f t="shared" si="6"/>
        <v>1225</v>
      </c>
      <c r="X52">
        <f>L4*(L4-1)</f>
        <v>110</v>
      </c>
      <c r="Y52">
        <f>L4*V52-W52</f>
        <v>84</v>
      </c>
      <c r="Z52">
        <f t="shared" si="7"/>
        <v>0.76363636363636367</v>
      </c>
      <c r="AA52">
        <f t="shared" si="8"/>
        <v>0.87386289750530299</v>
      </c>
      <c r="AB52">
        <f t="shared" si="9"/>
        <v>21.846572437632574</v>
      </c>
    </row>
    <row r="53" spans="1:28" x14ac:dyDescent="0.2">
      <c r="A53" s="28">
        <v>11</v>
      </c>
      <c r="B53" s="31">
        <f t="shared" ref="B53:U55" si="19">B22*B22</f>
        <v>16</v>
      </c>
      <c r="C53" s="31">
        <f t="shared" si="19"/>
        <v>4</v>
      </c>
      <c r="D53" s="31">
        <f t="shared" si="19"/>
        <v>4</v>
      </c>
      <c r="E53" s="31">
        <f t="shared" si="19"/>
        <v>16</v>
      </c>
      <c r="F53" s="31">
        <f t="shared" si="19"/>
        <v>16</v>
      </c>
      <c r="G53" s="31">
        <f t="shared" si="19"/>
        <v>25</v>
      </c>
      <c r="H53" s="31">
        <f t="shared" si="19"/>
        <v>16</v>
      </c>
      <c r="I53" s="31">
        <f t="shared" si="19"/>
        <v>16</v>
      </c>
      <c r="J53" s="31">
        <f t="shared" si="19"/>
        <v>16</v>
      </c>
      <c r="K53" s="31">
        <f t="shared" si="19"/>
        <v>16</v>
      </c>
      <c r="L53" s="31">
        <f t="shared" si="19"/>
        <v>16</v>
      </c>
      <c r="M53" s="31">
        <f t="shared" si="19"/>
        <v>0</v>
      </c>
      <c r="N53" s="31">
        <f t="shared" si="19"/>
        <v>0</v>
      </c>
      <c r="O53" s="31">
        <f t="shared" si="19"/>
        <v>0</v>
      </c>
      <c r="P53" s="31">
        <f t="shared" si="19"/>
        <v>0</v>
      </c>
      <c r="Q53" s="31">
        <f t="shared" si="19"/>
        <v>0</v>
      </c>
      <c r="R53" s="31">
        <f t="shared" si="19"/>
        <v>0</v>
      </c>
      <c r="S53" s="31">
        <f t="shared" si="19"/>
        <v>0</v>
      </c>
      <c r="T53" s="31">
        <f t="shared" si="19"/>
        <v>0</v>
      </c>
      <c r="U53" s="31">
        <f t="shared" si="19"/>
        <v>0</v>
      </c>
      <c r="V53">
        <f t="shared" si="5"/>
        <v>161</v>
      </c>
      <c r="W53">
        <f t="shared" si="6"/>
        <v>1681</v>
      </c>
      <c r="X53">
        <f>L4*(L4-1)</f>
        <v>110</v>
      </c>
      <c r="Y53">
        <f>L4*V53-W53</f>
        <v>90</v>
      </c>
      <c r="Z53">
        <f t="shared" si="7"/>
        <v>0.81818181818181823</v>
      </c>
      <c r="AA53">
        <f t="shared" si="8"/>
        <v>0.90453403373329089</v>
      </c>
      <c r="AB53">
        <f t="shared" si="9"/>
        <v>22.613350843332274</v>
      </c>
    </row>
    <row r="54" spans="1:28" x14ac:dyDescent="0.2">
      <c r="A54" s="28">
        <v>12</v>
      </c>
      <c r="B54" s="31">
        <f t="shared" si="19"/>
        <v>16</v>
      </c>
      <c r="C54" s="31">
        <f t="shared" si="19"/>
        <v>16</v>
      </c>
      <c r="D54" s="31">
        <f t="shared" si="19"/>
        <v>4</v>
      </c>
      <c r="E54" s="31">
        <f t="shared" si="19"/>
        <v>9</v>
      </c>
      <c r="F54" s="31">
        <f t="shared" si="19"/>
        <v>16</v>
      </c>
      <c r="G54" s="31">
        <f t="shared" si="19"/>
        <v>16</v>
      </c>
      <c r="H54" s="31">
        <f t="shared" si="19"/>
        <v>16</v>
      </c>
      <c r="I54" s="31">
        <f t="shared" si="19"/>
        <v>4</v>
      </c>
      <c r="J54" s="31">
        <f t="shared" si="19"/>
        <v>9</v>
      </c>
      <c r="K54" s="31">
        <f t="shared" si="19"/>
        <v>16</v>
      </c>
      <c r="L54" s="31">
        <f t="shared" si="19"/>
        <v>16</v>
      </c>
      <c r="M54" s="31">
        <f t="shared" si="19"/>
        <v>0</v>
      </c>
      <c r="N54" s="31">
        <f t="shared" si="19"/>
        <v>0</v>
      </c>
      <c r="O54" s="31">
        <f t="shared" si="19"/>
        <v>0</v>
      </c>
      <c r="P54" s="31">
        <f t="shared" si="19"/>
        <v>0</v>
      </c>
      <c r="Q54" s="31">
        <f t="shared" si="19"/>
        <v>0</v>
      </c>
      <c r="R54" s="31">
        <f t="shared" si="19"/>
        <v>0</v>
      </c>
      <c r="S54" s="31">
        <f t="shared" si="19"/>
        <v>0</v>
      </c>
      <c r="T54" s="31">
        <f t="shared" si="19"/>
        <v>0</v>
      </c>
      <c r="U54" s="31">
        <f t="shared" si="19"/>
        <v>0</v>
      </c>
      <c r="V54">
        <f>SUM(B54:U54)</f>
        <v>138</v>
      </c>
      <c r="W54">
        <f t="shared" si="6"/>
        <v>1444</v>
      </c>
      <c r="X54">
        <f>L4*(L4-1)</f>
        <v>110</v>
      </c>
      <c r="Y54">
        <f>L4*V54-W54</f>
        <v>74</v>
      </c>
      <c r="Z54">
        <f>Y54/X54</f>
        <v>0.67272727272727273</v>
      </c>
      <c r="AA54">
        <f>SQRT(Z54)</f>
        <v>0.82019953226472442</v>
      </c>
      <c r="AB54">
        <f>AA54/4*100</f>
        <v>20.50498830661811</v>
      </c>
    </row>
    <row r="55" spans="1:28" x14ac:dyDescent="0.2">
      <c r="A55" s="28">
        <v>13</v>
      </c>
      <c r="B55" s="31">
        <f t="shared" si="19"/>
        <v>16</v>
      </c>
      <c r="C55" s="31">
        <f t="shared" si="19"/>
        <v>16</v>
      </c>
      <c r="D55" s="31">
        <f t="shared" si="19"/>
        <v>16</v>
      </c>
      <c r="E55" s="31">
        <f t="shared" si="19"/>
        <v>16</v>
      </c>
      <c r="F55" s="31">
        <f t="shared" si="19"/>
        <v>9</v>
      </c>
      <c r="G55" s="31">
        <f t="shared" si="19"/>
        <v>16</v>
      </c>
      <c r="H55" s="31">
        <f t="shared" si="19"/>
        <v>9</v>
      </c>
      <c r="I55" s="31">
        <f t="shared" si="19"/>
        <v>4</v>
      </c>
      <c r="J55" s="31">
        <f t="shared" si="19"/>
        <v>9</v>
      </c>
      <c r="K55" s="31">
        <f t="shared" si="19"/>
        <v>16</v>
      </c>
      <c r="L55" s="31">
        <f t="shared" si="19"/>
        <v>16</v>
      </c>
      <c r="M55" s="31">
        <f t="shared" si="19"/>
        <v>0</v>
      </c>
      <c r="N55" s="31">
        <f t="shared" si="19"/>
        <v>0</v>
      </c>
      <c r="O55" s="31">
        <f t="shared" si="19"/>
        <v>0</v>
      </c>
      <c r="P55" s="31">
        <f t="shared" si="19"/>
        <v>0</v>
      </c>
      <c r="Q55" s="31">
        <f t="shared" si="19"/>
        <v>0</v>
      </c>
      <c r="R55" s="31">
        <f t="shared" si="19"/>
        <v>0</v>
      </c>
      <c r="S55" s="31">
        <f t="shared" si="19"/>
        <v>0</v>
      </c>
      <c r="T55" s="31">
        <f t="shared" si="19"/>
        <v>0</v>
      </c>
      <c r="U55" s="31">
        <f t="shared" si="19"/>
        <v>0</v>
      </c>
      <c r="V55">
        <f>SUM(B55:U55)</f>
        <v>143</v>
      </c>
      <c r="W55">
        <f t="shared" si="6"/>
        <v>1521</v>
      </c>
      <c r="X55">
        <f>L4*(L4-1)</f>
        <v>110</v>
      </c>
      <c r="Y55">
        <f>L4*V55-W55</f>
        <v>52</v>
      </c>
      <c r="Z55">
        <f>Y55/X55</f>
        <v>0.47272727272727272</v>
      </c>
      <c r="AA55">
        <f>SQRT(Z55)</f>
        <v>0.68755165095232862</v>
      </c>
      <c r="AB55">
        <f>AA55/4*100</f>
        <v>17.188791273808217</v>
      </c>
    </row>
  </sheetData>
  <pageMargins left="0.78740157499999996" right="0.78740157499999996" top="0.984251969" bottom="0.984251969" header="0.5" footer="0.5"/>
  <pageSetup paperSize="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23"/>
  <dimension ref="A1:AB54"/>
  <sheetViews>
    <sheetView zoomScale="70" zoomScaleNormal="70" workbookViewId="0">
      <selection activeCell="S33" sqref="S33"/>
    </sheetView>
  </sheetViews>
  <sheetFormatPr baseColWidth="10" defaultColWidth="8.85546875" defaultRowHeight="12.75" x14ac:dyDescent="0.2"/>
  <cols>
    <col min="1" max="1" width="6.28515625" customWidth="1"/>
    <col min="2" max="21" width="3.7109375" customWidth="1"/>
    <col min="22" max="22" width="7.85546875" customWidth="1"/>
    <col min="23" max="23" width="10.7109375" bestFit="1" customWidth="1"/>
    <col min="24" max="24" width="8.85546875" customWidth="1"/>
    <col min="25" max="25" width="6.85546875" customWidth="1"/>
    <col min="26" max="26" width="16.42578125" customWidth="1"/>
  </cols>
  <sheetData>
    <row r="1" spans="1:27" ht="18" x14ac:dyDescent="0.25">
      <c r="A1" s="1" t="s">
        <v>25</v>
      </c>
    </row>
    <row r="2" spans="1:27" x14ac:dyDescent="0.2">
      <c r="L2" s="26" t="s">
        <v>57</v>
      </c>
      <c r="M2" s="4"/>
      <c r="N2" s="4"/>
      <c r="O2" s="4"/>
      <c r="P2" s="4"/>
      <c r="Q2" s="4"/>
      <c r="R2" s="4"/>
      <c r="S2" s="4"/>
      <c r="T2" s="4"/>
      <c r="U2" s="5"/>
      <c r="W2" s="26" t="s">
        <v>66</v>
      </c>
      <c r="X2" s="4"/>
      <c r="Y2" s="4"/>
      <c r="Z2" s="4"/>
      <c r="AA2" s="5"/>
    </row>
    <row r="3" spans="1:27" ht="13.5" thickBot="1" x14ac:dyDescent="0.25">
      <c r="B3" s="3" t="s">
        <v>30</v>
      </c>
      <c r="C3" s="8"/>
      <c r="D3" s="8"/>
      <c r="G3" s="8"/>
      <c r="H3" s="8"/>
      <c r="I3" s="8"/>
      <c r="J3" s="8"/>
      <c r="K3" s="8"/>
      <c r="L3" s="47" t="s">
        <v>58</v>
      </c>
      <c r="M3" s="8"/>
      <c r="N3" s="8"/>
      <c r="O3" s="8"/>
      <c r="P3" s="22">
        <f>V27*V27</f>
        <v>535824</v>
      </c>
      <c r="Q3" s="43" t="s">
        <v>10</v>
      </c>
      <c r="S3" s="8"/>
      <c r="T3" s="8"/>
      <c r="U3" s="9"/>
      <c r="W3" s="35" t="s">
        <v>103</v>
      </c>
      <c r="X3" s="8" t="s">
        <v>67</v>
      </c>
      <c r="Y3" s="8"/>
      <c r="Z3" s="8"/>
      <c r="AA3" s="9"/>
    </row>
    <row r="4" spans="1:27" x14ac:dyDescent="0.2">
      <c r="A4" s="23">
        <f>(P8/L6)*100</f>
        <v>75.07692307692308</v>
      </c>
      <c r="B4" s="14" t="s">
        <v>46</v>
      </c>
      <c r="C4" s="15"/>
      <c r="D4" s="15"/>
      <c r="E4" s="15"/>
      <c r="F4" s="16"/>
      <c r="G4" s="16"/>
      <c r="H4" s="16"/>
      <c r="I4" s="16"/>
      <c r="J4" s="17"/>
      <c r="K4" s="8"/>
      <c r="L4" s="6">
        <v>13</v>
      </c>
      <c r="M4" s="8"/>
      <c r="N4" s="8"/>
      <c r="O4" s="8"/>
      <c r="P4" s="7">
        <f>L4*(L4-1)</f>
        <v>156</v>
      </c>
      <c r="Q4" s="43" t="s">
        <v>11</v>
      </c>
      <c r="S4" s="8"/>
      <c r="T4" s="8"/>
      <c r="U4" s="9"/>
      <c r="W4" s="35" t="s">
        <v>104</v>
      </c>
      <c r="X4" s="8" t="s">
        <v>43</v>
      </c>
      <c r="Y4" s="8"/>
      <c r="Z4" s="8"/>
      <c r="AA4" s="9"/>
    </row>
    <row r="5" spans="1:27" ht="13.5" thickBot="1" x14ac:dyDescent="0.25">
      <c r="A5" s="24">
        <f>100-(P9*2)</f>
        <v>76.141442431891051</v>
      </c>
      <c r="B5" s="18" t="s">
        <v>47</v>
      </c>
      <c r="C5" s="19"/>
      <c r="D5" s="19"/>
      <c r="E5" s="19"/>
      <c r="F5" s="20"/>
      <c r="G5" s="20"/>
      <c r="H5" s="20"/>
      <c r="I5" s="20"/>
      <c r="J5" s="21"/>
      <c r="K5" s="8"/>
      <c r="L5" s="47" t="s">
        <v>59</v>
      </c>
      <c r="M5" s="8"/>
      <c r="N5" s="8"/>
      <c r="O5" s="8"/>
      <c r="P5" s="22">
        <f>(L4*V28)-P3</f>
        <v>7992</v>
      </c>
      <c r="Q5" s="43" t="s">
        <v>122</v>
      </c>
      <c r="S5" s="8"/>
      <c r="T5" s="8"/>
      <c r="U5" s="9"/>
      <c r="W5" s="35" t="s">
        <v>105</v>
      </c>
      <c r="X5" s="8" t="s">
        <v>68</v>
      </c>
      <c r="Y5" s="8"/>
      <c r="Z5" s="8"/>
      <c r="AA5" s="9"/>
    </row>
    <row r="6" spans="1:27" x14ac:dyDescent="0.2">
      <c r="K6" s="8"/>
      <c r="L6" s="6">
        <f>A26*5</f>
        <v>75</v>
      </c>
      <c r="M6" s="8"/>
      <c r="N6" s="10"/>
      <c r="O6" s="8"/>
      <c r="P6" s="7">
        <f>P5/P4</f>
        <v>51.230769230769234</v>
      </c>
      <c r="Q6" s="43" t="s">
        <v>12</v>
      </c>
      <c r="S6" s="8"/>
      <c r="T6" s="8"/>
      <c r="U6" s="9"/>
      <c r="W6" s="35" t="s">
        <v>106</v>
      </c>
      <c r="X6" s="8" t="s">
        <v>43</v>
      </c>
      <c r="Y6" s="8"/>
      <c r="Z6" s="8"/>
      <c r="AA6" s="9"/>
    </row>
    <row r="7" spans="1:27" x14ac:dyDescent="0.2">
      <c r="C7" s="8"/>
      <c r="D7" s="8"/>
      <c r="G7" s="8"/>
      <c r="H7" s="8"/>
      <c r="I7" s="8"/>
      <c r="J7" s="8"/>
      <c r="K7" s="8"/>
      <c r="L7" s="47" t="s">
        <v>60</v>
      </c>
      <c r="M7" s="8"/>
      <c r="N7" s="10"/>
      <c r="O7" s="8"/>
      <c r="P7" s="7">
        <f>SQRT(P6)</f>
        <v>7.1575672704326871</v>
      </c>
      <c r="Q7" s="43" t="s">
        <v>13</v>
      </c>
      <c r="S7" s="8"/>
      <c r="T7" s="8"/>
      <c r="U7" s="9"/>
      <c r="W7" s="46" t="s">
        <v>107</v>
      </c>
      <c r="X7" s="12" t="s">
        <v>69</v>
      </c>
      <c r="Y7" s="12"/>
      <c r="Z7" s="12"/>
      <c r="AA7" s="13"/>
    </row>
    <row r="8" spans="1:27" x14ac:dyDescent="0.2">
      <c r="C8" s="8"/>
      <c r="D8" s="8"/>
      <c r="G8" s="8"/>
      <c r="H8" s="8"/>
      <c r="I8" s="8"/>
      <c r="J8" s="8"/>
      <c r="L8" s="6">
        <v>15</v>
      </c>
      <c r="M8" s="8"/>
      <c r="N8" s="8"/>
      <c r="O8" s="8"/>
      <c r="P8" s="8">
        <f>V27/L4</f>
        <v>56.307692307692307</v>
      </c>
      <c r="Q8" s="43" t="s">
        <v>27</v>
      </c>
      <c r="R8" s="8"/>
      <c r="S8" s="8"/>
      <c r="T8" s="8"/>
      <c r="U8" s="9"/>
    </row>
    <row r="9" spans="1:27" x14ac:dyDescent="0.2">
      <c r="L9" s="11"/>
      <c r="M9" s="12"/>
      <c r="N9" s="12"/>
      <c r="O9" s="12"/>
      <c r="P9" s="12">
        <f>P7/((L8*5)-(L8*1))*100</f>
        <v>11.929278784054478</v>
      </c>
      <c r="Q9" s="44" t="s">
        <v>26</v>
      </c>
      <c r="R9" s="12"/>
      <c r="S9" s="12"/>
      <c r="T9" s="12"/>
      <c r="U9" s="13"/>
    </row>
    <row r="10" spans="1:27" x14ac:dyDescent="0.2">
      <c r="A10" s="3"/>
      <c r="B10" s="3" t="s">
        <v>63</v>
      </c>
      <c r="C10" s="3"/>
      <c r="D10" s="3"/>
      <c r="E10" s="3"/>
      <c r="F10" s="3">
        <v>5</v>
      </c>
      <c r="G10" s="3"/>
      <c r="H10" s="3"/>
      <c r="I10" s="3"/>
      <c r="J10" s="3"/>
      <c r="K10" s="3">
        <v>10</v>
      </c>
      <c r="L10" s="3"/>
      <c r="M10" s="3"/>
      <c r="N10" s="3"/>
      <c r="O10" s="3"/>
      <c r="P10" s="3">
        <v>15</v>
      </c>
      <c r="Q10" s="3"/>
      <c r="R10" s="3"/>
      <c r="S10" s="3"/>
      <c r="T10" s="3"/>
      <c r="U10" s="3">
        <v>20</v>
      </c>
      <c r="W10" s="26" t="s">
        <v>6</v>
      </c>
      <c r="X10" s="38"/>
      <c r="Y10" s="4"/>
      <c r="Z10" s="4"/>
      <c r="AA10" s="5"/>
    </row>
    <row r="11" spans="1:27" x14ac:dyDescent="0.2">
      <c r="A11" s="28" t="s">
        <v>64</v>
      </c>
      <c r="B11" s="71" t="s">
        <v>110</v>
      </c>
      <c r="C11" s="71" t="s">
        <v>111</v>
      </c>
      <c r="D11" s="71" t="s">
        <v>112</v>
      </c>
      <c r="E11" s="71" t="s">
        <v>113</v>
      </c>
      <c r="F11" s="71" t="s">
        <v>114</v>
      </c>
      <c r="G11" s="71" t="s">
        <v>115</v>
      </c>
      <c r="H11" s="71" t="s">
        <v>116</v>
      </c>
      <c r="I11" s="71" t="s">
        <v>117</v>
      </c>
      <c r="J11" s="73" t="s">
        <v>118</v>
      </c>
      <c r="K11" s="73" t="s">
        <v>119</v>
      </c>
      <c r="L11" s="73" t="s">
        <v>120</v>
      </c>
      <c r="M11" s="73" t="s">
        <v>121</v>
      </c>
      <c r="N11" s="73" t="s">
        <v>122</v>
      </c>
      <c r="O11" s="28" t="s">
        <v>123</v>
      </c>
      <c r="P11" s="28" t="s">
        <v>124</v>
      </c>
      <c r="Q11" s="28" t="s">
        <v>12</v>
      </c>
      <c r="R11" s="28" t="s">
        <v>14</v>
      </c>
      <c r="S11" s="28" t="s">
        <v>15</v>
      </c>
      <c r="T11" s="28" t="s">
        <v>16</v>
      </c>
      <c r="U11" s="28" t="s">
        <v>17</v>
      </c>
      <c r="V11" s="31" t="s">
        <v>24</v>
      </c>
      <c r="W11" s="27" t="s">
        <v>31</v>
      </c>
      <c r="X11" s="10" t="s">
        <v>32</v>
      </c>
      <c r="Y11" s="37" t="s">
        <v>64</v>
      </c>
      <c r="Z11" s="8"/>
      <c r="AA11" s="9"/>
    </row>
    <row r="12" spans="1:27" x14ac:dyDescent="0.2">
      <c r="A12" s="28">
        <v>1</v>
      </c>
      <c r="B12" s="72">
        <v>4</v>
      </c>
      <c r="C12" s="72">
        <v>4</v>
      </c>
      <c r="D12" s="72">
        <v>4</v>
      </c>
      <c r="E12" s="72">
        <v>4</v>
      </c>
      <c r="F12" s="72">
        <v>5</v>
      </c>
      <c r="G12" s="72">
        <v>3</v>
      </c>
      <c r="H12" s="31">
        <v>3</v>
      </c>
      <c r="I12" s="31">
        <v>4</v>
      </c>
      <c r="J12" s="31">
        <v>5</v>
      </c>
      <c r="K12" s="31">
        <v>4</v>
      </c>
      <c r="L12" s="31">
        <v>2</v>
      </c>
      <c r="M12" s="31">
        <v>4</v>
      </c>
      <c r="N12" s="31">
        <v>4</v>
      </c>
      <c r="O12" s="31"/>
      <c r="P12" s="31"/>
      <c r="Q12" s="31"/>
      <c r="R12" s="31"/>
      <c r="S12" s="31"/>
      <c r="T12" s="31"/>
      <c r="U12" s="31"/>
      <c r="V12" s="31">
        <f t="shared" ref="V12:V28" si="0">SUM(B12:U12)</f>
        <v>50</v>
      </c>
      <c r="W12" s="39">
        <f>V12/L4*20</f>
        <v>76.92307692307692</v>
      </c>
      <c r="X12" s="40">
        <f t="shared" ref="X12:X26" si="1">100-(AB39*2)</f>
        <v>59.967961548728219</v>
      </c>
      <c r="Y12" s="8" t="s">
        <v>193</v>
      </c>
      <c r="Z12" s="8"/>
      <c r="AA12" s="9"/>
    </row>
    <row r="13" spans="1:27" x14ac:dyDescent="0.2">
      <c r="A13" s="28">
        <v>2</v>
      </c>
      <c r="B13" s="31">
        <v>5</v>
      </c>
      <c r="C13" s="31">
        <v>4</v>
      </c>
      <c r="D13" s="31">
        <v>4</v>
      </c>
      <c r="E13" s="31">
        <v>4</v>
      </c>
      <c r="F13" s="31">
        <v>4</v>
      </c>
      <c r="G13" s="31">
        <v>4</v>
      </c>
      <c r="H13" s="31">
        <v>4</v>
      </c>
      <c r="I13" s="31">
        <v>4</v>
      </c>
      <c r="J13" s="31">
        <v>4</v>
      </c>
      <c r="K13" s="31">
        <v>3</v>
      </c>
      <c r="L13" s="31">
        <v>4</v>
      </c>
      <c r="M13" s="31">
        <v>2</v>
      </c>
      <c r="N13" s="31">
        <v>3</v>
      </c>
      <c r="O13" s="31"/>
      <c r="P13" s="31"/>
      <c r="Q13" s="31"/>
      <c r="R13" s="31"/>
      <c r="S13" s="31"/>
      <c r="T13" s="31"/>
      <c r="U13" s="31"/>
      <c r="V13" s="31">
        <f t="shared" si="0"/>
        <v>49</v>
      </c>
      <c r="W13" s="39">
        <f>V13/L4*20</f>
        <v>75.384615384615387</v>
      </c>
      <c r="X13" s="40">
        <f t="shared" si="1"/>
        <v>63.749447395900788</v>
      </c>
      <c r="Y13" s="8" t="s">
        <v>194</v>
      </c>
      <c r="Z13" s="8"/>
      <c r="AA13" s="9"/>
    </row>
    <row r="14" spans="1:27" x14ac:dyDescent="0.2">
      <c r="A14" s="28">
        <v>3</v>
      </c>
      <c r="B14" s="31">
        <v>5</v>
      </c>
      <c r="C14" s="31">
        <v>4</v>
      </c>
      <c r="D14" s="31">
        <v>4</v>
      </c>
      <c r="E14" s="31">
        <v>4</v>
      </c>
      <c r="F14" s="31">
        <v>4</v>
      </c>
      <c r="G14" s="31">
        <v>5</v>
      </c>
      <c r="H14" s="31">
        <v>3</v>
      </c>
      <c r="I14" s="31">
        <v>4</v>
      </c>
      <c r="J14" s="31">
        <v>5</v>
      </c>
      <c r="K14" s="31">
        <v>3</v>
      </c>
      <c r="L14" s="31">
        <v>3</v>
      </c>
      <c r="M14" s="31">
        <v>2</v>
      </c>
      <c r="N14" s="31">
        <v>2</v>
      </c>
      <c r="O14" s="31"/>
      <c r="P14" s="31"/>
      <c r="Q14" s="31">
        <v>0</v>
      </c>
      <c r="R14" s="31"/>
      <c r="S14" s="31"/>
      <c r="T14" s="31"/>
      <c r="U14" s="31"/>
      <c r="V14" s="31">
        <f t="shared" si="0"/>
        <v>48</v>
      </c>
      <c r="W14" s="39">
        <f>V14/L4*20</f>
        <v>73.846153846153854</v>
      </c>
      <c r="X14" s="40">
        <f>100-(AB41*2)</f>
        <v>48.422326436175801</v>
      </c>
      <c r="Y14" s="8" t="s">
        <v>195</v>
      </c>
      <c r="Z14" s="8"/>
      <c r="AA14" s="9"/>
    </row>
    <row r="15" spans="1:27" x14ac:dyDescent="0.2">
      <c r="A15" s="28">
        <v>4</v>
      </c>
      <c r="B15" s="31">
        <v>5</v>
      </c>
      <c r="C15" s="31">
        <v>4</v>
      </c>
      <c r="D15" s="31">
        <v>4</v>
      </c>
      <c r="E15" s="31">
        <v>4</v>
      </c>
      <c r="F15" s="31">
        <v>4</v>
      </c>
      <c r="G15" s="31">
        <v>4</v>
      </c>
      <c r="H15" s="31">
        <v>3</v>
      </c>
      <c r="I15" s="31">
        <v>4</v>
      </c>
      <c r="J15" s="31">
        <v>5</v>
      </c>
      <c r="K15" s="31">
        <v>4</v>
      </c>
      <c r="L15" s="31">
        <v>4</v>
      </c>
      <c r="M15" s="31">
        <v>4</v>
      </c>
      <c r="N15" s="31">
        <v>3</v>
      </c>
      <c r="O15" s="31"/>
      <c r="P15" s="31"/>
      <c r="Q15" s="31"/>
      <c r="R15" s="31"/>
      <c r="S15" s="31"/>
      <c r="T15" s="31"/>
      <c r="U15" s="31"/>
      <c r="V15" s="31">
        <f t="shared" si="0"/>
        <v>52</v>
      </c>
      <c r="W15" s="39">
        <f>V15/L4*20</f>
        <v>80</v>
      </c>
      <c r="X15" s="40">
        <f t="shared" si="1"/>
        <v>71.132486540518713</v>
      </c>
      <c r="Y15" s="8" t="s">
        <v>196</v>
      </c>
      <c r="Z15" s="8"/>
      <c r="AA15" s="9"/>
    </row>
    <row r="16" spans="1:27" x14ac:dyDescent="0.2">
      <c r="A16" s="28">
        <v>5</v>
      </c>
      <c r="B16" s="31">
        <v>5</v>
      </c>
      <c r="C16" s="31">
        <v>4</v>
      </c>
      <c r="D16" s="31">
        <v>4</v>
      </c>
      <c r="E16" s="31">
        <v>4</v>
      </c>
      <c r="F16" s="31">
        <v>4</v>
      </c>
      <c r="G16" s="31">
        <v>4</v>
      </c>
      <c r="H16" s="31">
        <v>3</v>
      </c>
      <c r="I16" s="31">
        <v>2</v>
      </c>
      <c r="J16" s="31">
        <v>5</v>
      </c>
      <c r="K16" s="31">
        <v>4</v>
      </c>
      <c r="L16" s="31">
        <v>2</v>
      </c>
      <c r="M16" s="31">
        <v>4</v>
      </c>
      <c r="N16" s="31">
        <v>4</v>
      </c>
      <c r="O16" s="31"/>
      <c r="P16" s="31"/>
      <c r="Q16" s="31"/>
      <c r="R16" s="31"/>
      <c r="S16" s="31"/>
      <c r="T16" s="31"/>
      <c r="U16" s="31"/>
      <c r="V16" s="31">
        <f t="shared" si="0"/>
        <v>49</v>
      </c>
      <c r="W16" s="39">
        <f>V16/L4*20</f>
        <v>75.384615384615387</v>
      </c>
      <c r="X16" s="40">
        <f t="shared" si="1"/>
        <v>53.659565200185085</v>
      </c>
      <c r="Y16" s="8" t="s">
        <v>197</v>
      </c>
      <c r="Z16" s="8"/>
      <c r="AA16" s="9"/>
    </row>
    <row r="17" spans="1:27" x14ac:dyDescent="0.2">
      <c r="A17" s="28">
        <v>6</v>
      </c>
      <c r="B17" s="31">
        <v>5</v>
      </c>
      <c r="C17" s="31">
        <v>4</v>
      </c>
      <c r="D17" s="31">
        <v>4</v>
      </c>
      <c r="E17" s="31">
        <v>4</v>
      </c>
      <c r="F17" s="31">
        <v>5</v>
      </c>
      <c r="G17" s="31">
        <v>4</v>
      </c>
      <c r="H17" s="31">
        <v>4</v>
      </c>
      <c r="I17" s="31">
        <v>4</v>
      </c>
      <c r="J17" s="31">
        <v>4</v>
      </c>
      <c r="K17" s="31">
        <v>4</v>
      </c>
      <c r="L17" s="31">
        <v>2</v>
      </c>
      <c r="M17" s="31">
        <v>2</v>
      </c>
      <c r="N17" s="31">
        <v>2</v>
      </c>
      <c r="O17" s="31"/>
      <c r="P17" s="31"/>
      <c r="Q17" s="31"/>
      <c r="R17" s="31"/>
      <c r="S17" s="31"/>
      <c r="T17" s="31"/>
      <c r="U17" s="31"/>
      <c r="V17" s="31">
        <f t="shared" si="0"/>
        <v>48</v>
      </c>
      <c r="W17" s="39">
        <f>V17/L4*20</f>
        <v>73.846153846153854</v>
      </c>
      <c r="X17" s="40">
        <f t="shared" si="1"/>
        <v>48.422326436175801</v>
      </c>
      <c r="Y17" s="8" t="s">
        <v>198</v>
      </c>
      <c r="Z17" s="8"/>
      <c r="AA17" s="9"/>
    </row>
    <row r="18" spans="1:27" x14ac:dyDescent="0.2">
      <c r="A18" s="28">
        <v>7</v>
      </c>
      <c r="B18" s="31">
        <v>5</v>
      </c>
      <c r="C18" s="31">
        <v>4</v>
      </c>
      <c r="D18" s="31">
        <v>4</v>
      </c>
      <c r="E18" s="31">
        <v>4</v>
      </c>
      <c r="F18" s="31">
        <v>4</v>
      </c>
      <c r="G18" s="31">
        <v>4</v>
      </c>
      <c r="H18" s="31">
        <v>5</v>
      </c>
      <c r="I18" s="31">
        <v>4</v>
      </c>
      <c r="J18" s="31">
        <v>5</v>
      </c>
      <c r="K18" s="31">
        <v>3</v>
      </c>
      <c r="L18" s="31">
        <v>2</v>
      </c>
      <c r="M18" s="31">
        <v>4</v>
      </c>
      <c r="N18" s="31">
        <v>4</v>
      </c>
      <c r="O18" s="31"/>
      <c r="P18" s="31"/>
      <c r="Q18" s="31"/>
      <c r="R18" s="31"/>
      <c r="S18" s="31"/>
      <c r="T18" s="31"/>
      <c r="U18" s="31"/>
      <c r="V18" s="31">
        <f t="shared" si="0"/>
        <v>52</v>
      </c>
      <c r="W18" s="39">
        <f>V18/L4*20</f>
        <v>80</v>
      </c>
      <c r="X18" s="40">
        <f t="shared" si="1"/>
        <v>59.175170953613701</v>
      </c>
      <c r="Y18" s="8" t="s">
        <v>199</v>
      </c>
      <c r="Z18" s="8"/>
      <c r="AA18" s="9"/>
    </row>
    <row r="19" spans="1:27" x14ac:dyDescent="0.2">
      <c r="A19" s="28">
        <v>8</v>
      </c>
      <c r="B19" s="31">
        <v>4</v>
      </c>
      <c r="C19" s="31">
        <v>4</v>
      </c>
      <c r="D19" s="31">
        <v>4</v>
      </c>
      <c r="E19" s="31">
        <v>4</v>
      </c>
      <c r="F19" s="31">
        <v>4</v>
      </c>
      <c r="G19" s="31">
        <v>3</v>
      </c>
      <c r="H19" s="31">
        <v>3</v>
      </c>
      <c r="I19" s="31">
        <v>4</v>
      </c>
      <c r="J19" s="31">
        <v>3</v>
      </c>
      <c r="K19" s="31">
        <v>3</v>
      </c>
      <c r="L19" s="31">
        <v>4</v>
      </c>
      <c r="M19" s="31">
        <v>2</v>
      </c>
      <c r="N19" s="31">
        <v>4</v>
      </c>
      <c r="O19" s="31"/>
      <c r="P19" s="31"/>
      <c r="Q19" s="31"/>
      <c r="R19" s="31"/>
      <c r="S19" s="31"/>
      <c r="T19" s="31"/>
      <c r="U19" s="31"/>
      <c r="V19" s="31">
        <f t="shared" si="0"/>
        <v>46</v>
      </c>
      <c r="W19" s="39">
        <f>V19/L4*20</f>
        <v>70.769230769230774</v>
      </c>
      <c r="X19" s="40">
        <f t="shared" si="1"/>
        <v>66.988735411323773</v>
      </c>
      <c r="Y19" s="8" t="s">
        <v>200</v>
      </c>
      <c r="Z19" s="8"/>
      <c r="AA19" s="9"/>
    </row>
    <row r="20" spans="1:27" x14ac:dyDescent="0.2">
      <c r="A20" s="28">
        <v>9</v>
      </c>
      <c r="B20" s="31">
        <v>5</v>
      </c>
      <c r="C20" s="31">
        <v>3</v>
      </c>
      <c r="D20" s="31">
        <v>3</v>
      </c>
      <c r="E20" s="31">
        <v>4</v>
      </c>
      <c r="F20" s="31">
        <v>4</v>
      </c>
      <c r="G20" s="31">
        <v>4</v>
      </c>
      <c r="H20" s="31">
        <v>4</v>
      </c>
      <c r="I20" s="31">
        <v>4</v>
      </c>
      <c r="J20" s="31">
        <v>5</v>
      </c>
      <c r="K20" s="31">
        <v>3</v>
      </c>
      <c r="L20" s="31">
        <v>4</v>
      </c>
      <c r="M20" s="31">
        <v>4</v>
      </c>
      <c r="N20" s="31">
        <v>4</v>
      </c>
      <c r="O20" s="31"/>
      <c r="P20" s="31"/>
      <c r="Q20" s="31"/>
      <c r="R20" s="31"/>
      <c r="S20" s="31"/>
      <c r="T20" s="31"/>
      <c r="U20" s="31"/>
      <c r="V20" s="31">
        <f t="shared" si="0"/>
        <v>51</v>
      </c>
      <c r="W20" s="39">
        <f>V20/L4*20</f>
        <v>78.461538461538453</v>
      </c>
      <c r="X20" s="40">
        <f t="shared" si="1"/>
        <v>67.974369238982575</v>
      </c>
      <c r="Y20" s="8" t="s">
        <v>201</v>
      </c>
      <c r="Z20" s="8"/>
      <c r="AA20" s="9"/>
    </row>
    <row r="21" spans="1:27" x14ac:dyDescent="0.2">
      <c r="A21" s="28">
        <v>10</v>
      </c>
      <c r="B21" s="31">
        <v>5</v>
      </c>
      <c r="C21" s="31">
        <v>4</v>
      </c>
      <c r="D21" s="31">
        <v>4</v>
      </c>
      <c r="E21" s="31">
        <v>5</v>
      </c>
      <c r="F21" s="31">
        <v>3</v>
      </c>
      <c r="G21" s="31">
        <v>4</v>
      </c>
      <c r="H21" s="31">
        <v>4</v>
      </c>
      <c r="I21" s="31">
        <v>5</v>
      </c>
      <c r="J21" s="31">
        <v>2</v>
      </c>
      <c r="K21" s="31">
        <v>4</v>
      </c>
      <c r="L21" s="31">
        <v>2</v>
      </c>
      <c r="M21" s="31">
        <v>3</v>
      </c>
      <c r="N21" s="31">
        <v>3</v>
      </c>
      <c r="O21" s="31"/>
      <c r="P21" s="31"/>
      <c r="Q21" s="31"/>
      <c r="R21" s="31"/>
      <c r="S21" s="31"/>
      <c r="T21" s="31"/>
      <c r="U21" s="31"/>
      <c r="V21" s="31">
        <f t="shared" si="0"/>
        <v>48</v>
      </c>
      <c r="W21" s="39">
        <f>V21/L4*20</f>
        <v>73.846153846153854</v>
      </c>
      <c r="X21" s="40">
        <f t="shared" si="1"/>
        <v>48.422326436175801</v>
      </c>
      <c r="Y21" s="8" t="s">
        <v>202</v>
      </c>
      <c r="Z21" s="8"/>
      <c r="AA21" s="9"/>
    </row>
    <row r="22" spans="1:27" x14ac:dyDescent="0.2">
      <c r="A22" s="28">
        <v>11</v>
      </c>
      <c r="B22" s="31">
        <v>5</v>
      </c>
      <c r="C22" s="31">
        <v>4</v>
      </c>
      <c r="D22" s="31">
        <v>4</v>
      </c>
      <c r="E22" s="31">
        <v>3</v>
      </c>
      <c r="F22" s="31">
        <v>4</v>
      </c>
      <c r="G22" s="31">
        <v>2</v>
      </c>
      <c r="H22" s="31">
        <v>4</v>
      </c>
      <c r="I22" s="31">
        <v>5</v>
      </c>
      <c r="J22" s="31">
        <v>2</v>
      </c>
      <c r="K22" s="31">
        <v>4</v>
      </c>
      <c r="L22" s="31">
        <v>3</v>
      </c>
      <c r="M22" s="31">
        <v>5</v>
      </c>
      <c r="N22" s="31">
        <v>2</v>
      </c>
      <c r="O22" s="31"/>
      <c r="P22" s="31"/>
      <c r="Q22" s="31"/>
      <c r="R22" s="31"/>
      <c r="S22" s="31"/>
      <c r="T22" s="31"/>
      <c r="U22" s="31"/>
      <c r="V22" s="31">
        <f t="shared" si="0"/>
        <v>47</v>
      </c>
      <c r="W22" s="39">
        <f>V22/L4*20</f>
        <v>72.307692307692307</v>
      </c>
      <c r="X22" s="40">
        <f t="shared" si="1"/>
        <v>43.955146168219507</v>
      </c>
      <c r="Y22" s="8" t="s">
        <v>203</v>
      </c>
      <c r="Z22" s="8"/>
      <c r="AA22" s="9"/>
    </row>
    <row r="23" spans="1:27" x14ac:dyDescent="0.2">
      <c r="A23" s="28">
        <v>12</v>
      </c>
      <c r="B23" s="31">
        <v>5</v>
      </c>
      <c r="C23" s="31">
        <v>5</v>
      </c>
      <c r="D23" s="31">
        <v>5</v>
      </c>
      <c r="E23" s="31">
        <v>3</v>
      </c>
      <c r="F23" s="31">
        <v>4</v>
      </c>
      <c r="G23" s="31">
        <v>2</v>
      </c>
      <c r="H23" s="31">
        <v>4</v>
      </c>
      <c r="I23" s="31">
        <v>4</v>
      </c>
      <c r="J23" s="31">
        <v>4</v>
      </c>
      <c r="K23" s="31">
        <v>4</v>
      </c>
      <c r="L23" s="31">
        <v>4</v>
      </c>
      <c r="M23" s="31">
        <v>3</v>
      </c>
      <c r="N23" s="31">
        <v>4</v>
      </c>
      <c r="O23" s="31"/>
      <c r="P23" s="31"/>
      <c r="Q23" s="31"/>
      <c r="R23" s="31"/>
      <c r="S23" s="31"/>
      <c r="T23" s="31"/>
      <c r="U23" s="31"/>
      <c r="V23" s="31">
        <f t="shared" si="0"/>
        <v>51</v>
      </c>
      <c r="W23" s="39">
        <f>V23/L4*20</f>
        <v>78.461538461538453</v>
      </c>
      <c r="X23" s="40">
        <f t="shared" si="1"/>
        <v>56.884175074871187</v>
      </c>
      <c r="Y23" s="8" t="s">
        <v>204</v>
      </c>
      <c r="Z23" s="8"/>
      <c r="AA23" s="9"/>
    </row>
    <row r="24" spans="1:27" x14ac:dyDescent="0.2">
      <c r="A24" s="28">
        <v>13</v>
      </c>
      <c r="B24" s="31">
        <v>4</v>
      </c>
      <c r="C24" s="31">
        <v>4</v>
      </c>
      <c r="D24" s="31">
        <v>4</v>
      </c>
      <c r="E24" s="31">
        <v>4</v>
      </c>
      <c r="F24" s="31">
        <v>4</v>
      </c>
      <c r="G24" s="31">
        <v>2</v>
      </c>
      <c r="H24" s="31">
        <v>3</v>
      </c>
      <c r="I24" s="31">
        <v>4</v>
      </c>
      <c r="J24" s="31">
        <v>4</v>
      </c>
      <c r="K24" s="31">
        <v>3</v>
      </c>
      <c r="L24" s="31">
        <v>4</v>
      </c>
      <c r="M24" s="31">
        <v>2</v>
      </c>
      <c r="N24" s="31">
        <v>4</v>
      </c>
      <c r="O24" s="31"/>
      <c r="P24" s="31"/>
      <c r="Q24" s="31"/>
      <c r="R24" s="31"/>
      <c r="S24" s="31"/>
      <c r="T24" s="31"/>
      <c r="U24" s="31"/>
      <c r="V24" s="31">
        <f t="shared" si="0"/>
        <v>46</v>
      </c>
      <c r="W24" s="39">
        <f>V24/L4*20</f>
        <v>70.769230769230774</v>
      </c>
      <c r="X24" s="40">
        <f t="shared" si="1"/>
        <v>61.187498709690765</v>
      </c>
      <c r="Y24" s="8" t="s">
        <v>205</v>
      </c>
      <c r="Z24" s="8"/>
      <c r="AA24" s="9"/>
    </row>
    <row r="25" spans="1:27" x14ac:dyDescent="0.2">
      <c r="A25" s="28">
        <v>14</v>
      </c>
      <c r="B25" s="31">
        <v>4</v>
      </c>
      <c r="C25" s="31">
        <v>4</v>
      </c>
      <c r="D25" s="31">
        <v>4</v>
      </c>
      <c r="E25" s="31">
        <v>4</v>
      </c>
      <c r="F25" s="31">
        <v>4</v>
      </c>
      <c r="G25" s="31">
        <v>4</v>
      </c>
      <c r="H25" s="31">
        <v>3</v>
      </c>
      <c r="I25" s="31">
        <v>4</v>
      </c>
      <c r="J25" s="31">
        <v>5</v>
      </c>
      <c r="K25" s="31">
        <v>3</v>
      </c>
      <c r="L25" s="31">
        <v>4</v>
      </c>
      <c r="M25" s="31">
        <v>3</v>
      </c>
      <c r="N25" s="31">
        <v>4</v>
      </c>
      <c r="O25" s="31"/>
      <c r="P25" s="31"/>
      <c r="Q25" s="31"/>
      <c r="R25" s="31"/>
      <c r="S25" s="31"/>
      <c r="T25" s="31"/>
      <c r="U25" s="31"/>
      <c r="V25" s="31">
        <f t="shared" si="0"/>
        <v>50</v>
      </c>
      <c r="W25" s="39">
        <f>V25/L4*20</f>
        <v>76.92307692307692</v>
      </c>
      <c r="X25" s="40">
        <f t="shared" si="1"/>
        <v>72.264990188738551</v>
      </c>
      <c r="Y25" s="8" t="s">
        <v>206</v>
      </c>
      <c r="Z25" s="8"/>
      <c r="AA25" s="9"/>
    </row>
    <row r="26" spans="1:27" x14ac:dyDescent="0.2">
      <c r="A26" s="28">
        <v>15</v>
      </c>
      <c r="B26" s="31">
        <v>5</v>
      </c>
      <c r="C26" s="31">
        <v>4</v>
      </c>
      <c r="D26" s="31">
        <v>4</v>
      </c>
      <c r="E26" s="31">
        <v>3</v>
      </c>
      <c r="F26" s="31">
        <v>4</v>
      </c>
      <c r="G26" s="31">
        <v>4</v>
      </c>
      <c r="H26" s="31">
        <v>4</v>
      </c>
      <c r="I26" s="31">
        <v>4</v>
      </c>
      <c r="J26" s="31">
        <v>4</v>
      </c>
      <c r="K26" s="31">
        <v>3</v>
      </c>
      <c r="L26" s="31">
        <v>2</v>
      </c>
      <c r="M26" s="31">
        <v>2</v>
      </c>
      <c r="N26" s="31">
        <v>2</v>
      </c>
      <c r="O26" s="31"/>
      <c r="P26" s="31"/>
      <c r="Q26" s="31"/>
      <c r="R26" s="31"/>
      <c r="S26" s="31"/>
      <c r="T26" s="31"/>
      <c r="U26" s="31"/>
      <c r="V26" s="31">
        <f t="shared" si="0"/>
        <v>45</v>
      </c>
      <c r="W26" s="41">
        <f>V26/L4*20</f>
        <v>69.230769230769226</v>
      </c>
      <c r="X26" s="42">
        <f t="shared" si="1"/>
        <v>51.629103897657743</v>
      </c>
      <c r="Y26" s="12" t="s">
        <v>207</v>
      </c>
      <c r="Z26" s="12"/>
      <c r="AA26" s="13"/>
    </row>
    <row r="27" spans="1:27" x14ac:dyDescent="0.2">
      <c r="A27" s="28" t="s">
        <v>126</v>
      </c>
      <c r="B27" s="31">
        <f t="shared" ref="B27:U27" si="2">SUM(B12:B26)</f>
        <v>71</v>
      </c>
      <c r="C27" s="31">
        <f t="shared" si="2"/>
        <v>60</v>
      </c>
      <c r="D27" s="31">
        <f t="shared" si="2"/>
        <v>60</v>
      </c>
      <c r="E27" s="31">
        <f t="shared" si="2"/>
        <v>58</v>
      </c>
      <c r="F27" s="31">
        <f t="shared" si="2"/>
        <v>61</v>
      </c>
      <c r="G27" s="31">
        <f t="shared" si="2"/>
        <v>53</v>
      </c>
      <c r="H27" s="31">
        <f t="shared" si="2"/>
        <v>54</v>
      </c>
      <c r="I27" s="31">
        <f t="shared" si="2"/>
        <v>60</v>
      </c>
      <c r="J27" s="31">
        <f t="shared" si="2"/>
        <v>62</v>
      </c>
      <c r="K27" s="31">
        <f t="shared" si="2"/>
        <v>52</v>
      </c>
      <c r="L27" s="31">
        <f t="shared" si="2"/>
        <v>46</v>
      </c>
      <c r="M27" s="31">
        <f t="shared" si="2"/>
        <v>46</v>
      </c>
      <c r="N27" s="31">
        <f t="shared" si="2"/>
        <v>49</v>
      </c>
      <c r="O27" s="31">
        <f t="shared" si="2"/>
        <v>0</v>
      </c>
      <c r="P27" s="31">
        <f t="shared" si="2"/>
        <v>0</v>
      </c>
      <c r="Q27" s="31">
        <f t="shared" si="2"/>
        <v>0</v>
      </c>
      <c r="R27" s="31">
        <f t="shared" si="2"/>
        <v>0</v>
      </c>
      <c r="S27" s="31">
        <f t="shared" si="2"/>
        <v>0</v>
      </c>
      <c r="T27" s="31">
        <f t="shared" si="2"/>
        <v>0</v>
      </c>
      <c r="U27" s="31">
        <f t="shared" si="2"/>
        <v>0</v>
      </c>
      <c r="V27" s="31">
        <f t="shared" si="0"/>
        <v>732</v>
      </c>
      <c r="W27" s="29"/>
      <c r="X27" s="8"/>
    </row>
    <row r="28" spans="1:27" x14ac:dyDescent="0.2">
      <c r="A28" s="28" t="s">
        <v>127</v>
      </c>
      <c r="B28" s="32">
        <f t="shared" ref="B28:U28" si="3">B27*B27</f>
        <v>5041</v>
      </c>
      <c r="C28" s="32">
        <f t="shared" si="3"/>
        <v>3600</v>
      </c>
      <c r="D28" s="32">
        <f t="shared" si="3"/>
        <v>3600</v>
      </c>
      <c r="E28" s="32">
        <f t="shared" si="3"/>
        <v>3364</v>
      </c>
      <c r="F28" s="32">
        <f t="shared" si="3"/>
        <v>3721</v>
      </c>
      <c r="G28" s="32">
        <f t="shared" si="3"/>
        <v>2809</v>
      </c>
      <c r="H28" s="32">
        <f t="shared" si="3"/>
        <v>2916</v>
      </c>
      <c r="I28" s="32">
        <f t="shared" si="3"/>
        <v>3600</v>
      </c>
      <c r="J28" s="32">
        <f t="shared" si="3"/>
        <v>3844</v>
      </c>
      <c r="K28" s="32">
        <f t="shared" si="3"/>
        <v>2704</v>
      </c>
      <c r="L28" s="32">
        <f t="shared" si="3"/>
        <v>2116</v>
      </c>
      <c r="M28" s="32">
        <f t="shared" si="3"/>
        <v>2116</v>
      </c>
      <c r="N28" s="32">
        <f t="shared" si="3"/>
        <v>2401</v>
      </c>
      <c r="O28" s="32">
        <f t="shared" si="3"/>
        <v>0</v>
      </c>
      <c r="P28" s="32">
        <f t="shared" si="3"/>
        <v>0</v>
      </c>
      <c r="Q28" s="32">
        <f t="shared" si="3"/>
        <v>0</v>
      </c>
      <c r="R28" s="32">
        <f t="shared" si="3"/>
        <v>0</v>
      </c>
      <c r="S28" s="32">
        <f t="shared" si="3"/>
        <v>0</v>
      </c>
      <c r="T28" s="32">
        <f t="shared" si="3"/>
        <v>0</v>
      </c>
      <c r="U28" s="32">
        <f t="shared" si="3"/>
        <v>0</v>
      </c>
      <c r="V28" s="32">
        <f t="shared" si="0"/>
        <v>41832</v>
      </c>
      <c r="W28" t="s">
        <v>9</v>
      </c>
      <c r="X28" s="2"/>
    </row>
    <row r="37" spans="1:28" x14ac:dyDescent="0.2">
      <c r="A37" s="2" t="s">
        <v>21</v>
      </c>
    </row>
    <row r="38" spans="1:28" x14ac:dyDescent="0.2">
      <c r="A38" s="28" t="s">
        <v>109</v>
      </c>
      <c r="B38" s="31" t="s">
        <v>110</v>
      </c>
      <c r="C38" s="31" t="s">
        <v>111</v>
      </c>
      <c r="D38" s="31" t="s">
        <v>112</v>
      </c>
      <c r="E38" s="31" t="s">
        <v>113</v>
      </c>
      <c r="F38" s="31" t="s">
        <v>114</v>
      </c>
      <c r="G38" s="31" t="s">
        <v>115</v>
      </c>
      <c r="H38" s="31" t="s">
        <v>116</v>
      </c>
      <c r="I38" s="31" t="s">
        <v>117</v>
      </c>
      <c r="J38" s="31" t="s">
        <v>118</v>
      </c>
      <c r="K38" s="31" t="s">
        <v>119</v>
      </c>
      <c r="L38" s="31" t="s">
        <v>120</v>
      </c>
      <c r="M38" s="31" t="s">
        <v>121</v>
      </c>
      <c r="N38" s="31" t="s">
        <v>122</v>
      </c>
      <c r="O38" s="31" t="s">
        <v>123</v>
      </c>
      <c r="P38" s="31" t="s">
        <v>124</v>
      </c>
      <c r="Q38" s="31" t="s">
        <v>12</v>
      </c>
      <c r="R38" s="31" t="s">
        <v>14</v>
      </c>
      <c r="S38" s="31" t="s">
        <v>15</v>
      </c>
      <c r="T38" s="31" t="s">
        <v>16</v>
      </c>
      <c r="U38" s="31" t="s">
        <v>17</v>
      </c>
      <c r="V38" t="s">
        <v>22</v>
      </c>
      <c r="W38" t="s">
        <v>10</v>
      </c>
      <c r="X38" t="s">
        <v>11</v>
      </c>
      <c r="Y38" t="s">
        <v>122</v>
      </c>
      <c r="Z38" t="s">
        <v>12</v>
      </c>
      <c r="AA38" t="s">
        <v>19</v>
      </c>
      <c r="AB38" t="s">
        <v>3</v>
      </c>
    </row>
    <row r="39" spans="1:28" x14ac:dyDescent="0.2">
      <c r="A39" s="28">
        <v>1</v>
      </c>
      <c r="B39" s="31">
        <f t="shared" ref="B39:U39" si="4">B12*B12</f>
        <v>16</v>
      </c>
      <c r="C39" s="31">
        <f t="shared" si="4"/>
        <v>16</v>
      </c>
      <c r="D39" s="31">
        <f t="shared" si="4"/>
        <v>16</v>
      </c>
      <c r="E39" s="31">
        <f t="shared" si="4"/>
        <v>16</v>
      </c>
      <c r="F39" s="31">
        <f t="shared" si="4"/>
        <v>25</v>
      </c>
      <c r="G39" s="31">
        <f t="shared" si="4"/>
        <v>9</v>
      </c>
      <c r="H39" s="31">
        <f t="shared" si="4"/>
        <v>9</v>
      </c>
      <c r="I39" s="31">
        <f t="shared" si="4"/>
        <v>16</v>
      </c>
      <c r="J39" s="31">
        <f t="shared" si="4"/>
        <v>25</v>
      </c>
      <c r="K39" s="31">
        <f t="shared" si="4"/>
        <v>16</v>
      </c>
      <c r="L39" s="31">
        <f t="shared" si="4"/>
        <v>4</v>
      </c>
      <c r="M39" s="31">
        <f t="shared" si="4"/>
        <v>16</v>
      </c>
      <c r="N39" s="31">
        <f t="shared" si="4"/>
        <v>16</v>
      </c>
      <c r="O39" s="31">
        <f t="shared" si="4"/>
        <v>0</v>
      </c>
      <c r="P39" s="31">
        <f t="shared" si="4"/>
        <v>0</v>
      </c>
      <c r="Q39" s="31">
        <f t="shared" si="4"/>
        <v>0</v>
      </c>
      <c r="R39" s="31">
        <f t="shared" si="4"/>
        <v>0</v>
      </c>
      <c r="S39" s="31">
        <f t="shared" si="4"/>
        <v>0</v>
      </c>
      <c r="T39" s="31">
        <f t="shared" si="4"/>
        <v>0</v>
      </c>
      <c r="U39" s="31">
        <f t="shared" si="4"/>
        <v>0</v>
      </c>
      <c r="V39">
        <f t="shared" ref="V39:V53" si="5">SUM(B39:U39)</f>
        <v>200</v>
      </c>
      <c r="W39">
        <f t="shared" ref="W39:W53" si="6">V12*V12</f>
        <v>2500</v>
      </c>
      <c r="X39">
        <f>L4*(L4-1)</f>
        <v>156</v>
      </c>
      <c r="Y39">
        <f>L4*V39-W39</f>
        <v>100</v>
      </c>
      <c r="Z39">
        <f t="shared" ref="Z39:Z53" si="7">Y39/X39</f>
        <v>0.64102564102564108</v>
      </c>
      <c r="AA39">
        <f t="shared" ref="AA39:AA53" si="8">SQRT(Z39)</f>
        <v>0.80064076902543568</v>
      </c>
      <c r="AB39">
        <f t="shared" ref="AB39:AB53" si="9">AA39/4*100</f>
        <v>20.01601922563589</v>
      </c>
    </row>
    <row r="40" spans="1:28" x14ac:dyDescent="0.2">
      <c r="A40" s="28">
        <v>2</v>
      </c>
      <c r="B40" s="31">
        <f t="shared" ref="B40:U40" si="10">B13*B13</f>
        <v>25</v>
      </c>
      <c r="C40" s="31">
        <f t="shared" si="10"/>
        <v>16</v>
      </c>
      <c r="D40" s="31">
        <f t="shared" si="10"/>
        <v>16</v>
      </c>
      <c r="E40" s="31">
        <f t="shared" si="10"/>
        <v>16</v>
      </c>
      <c r="F40" s="31">
        <f t="shared" si="10"/>
        <v>16</v>
      </c>
      <c r="G40" s="31">
        <f t="shared" si="10"/>
        <v>16</v>
      </c>
      <c r="H40" s="31">
        <f t="shared" si="10"/>
        <v>16</v>
      </c>
      <c r="I40" s="31">
        <f t="shared" si="10"/>
        <v>16</v>
      </c>
      <c r="J40" s="31">
        <f t="shared" si="10"/>
        <v>16</v>
      </c>
      <c r="K40" s="31">
        <f t="shared" si="10"/>
        <v>9</v>
      </c>
      <c r="L40" s="31">
        <f t="shared" si="10"/>
        <v>16</v>
      </c>
      <c r="M40" s="31">
        <f t="shared" si="10"/>
        <v>4</v>
      </c>
      <c r="N40" s="31">
        <f t="shared" si="10"/>
        <v>9</v>
      </c>
      <c r="O40" s="31">
        <f t="shared" si="10"/>
        <v>0</v>
      </c>
      <c r="P40" s="31">
        <f t="shared" si="10"/>
        <v>0</v>
      </c>
      <c r="Q40" s="31">
        <f t="shared" si="10"/>
        <v>0</v>
      </c>
      <c r="R40" s="31">
        <f t="shared" si="10"/>
        <v>0</v>
      </c>
      <c r="S40" s="31">
        <f t="shared" si="10"/>
        <v>0</v>
      </c>
      <c r="T40" s="31">
        <f t="shared" si="10"/>
        <v>0</v>
      </c>
      <c r="U40" s="31">
        <f t="shared" si="10"/>
        <v>0</v>
      </c>
      <c r="V40">
        <f t="shared" si="5"/>
        <v>191</v>
      </c>
      <c r="W40">
        <f t="shared" si="6"/>
        <v>2401</v>
      </c>
      <c r="X40">
        <f>L4*(L4-1)</f>
        <v>156</v>
      </c>
      <c r="Y40">
        <f>L4*V40-W40</f>
        <v>82</v>
      </c>
      <c r="Z40">
        <f t="shared" si="7"/>
        <v>0.52564102564102566</v>
      </c>
      <c r="AA40">
        <f t="shared" si="8"/>
        <v>0.72501105208198424</v>
      </c>
      <c r="AB40">
        <f t="shared" si="9"/>
        <v>18.125276302049606</v>
      </c>
    </row>
    <row r="41" spans="1:28" x14ac:dyDescent="0.2">
      <c r="A41" s="28">
        <v>3</v>
      </c>
      <c r="B41" s="31">
        <f t="shared" ref="B41:U41" si="11">B14*B14</f>
        <v>25</v>
      </c>
      <c r="C41" s="31">
        <f t="shared" si="11"/>
        <v>16</v>
      </c>
      <c r="D41" s="31">
        <f t="shared" si="11"/>
        <v>16</v>
      </c>
      <c r="E41" s="31">
        <f t="shared" si="11"/>
        <v>16</v>
      </c>
      <c r="F41" s="31">
        <f t="shared" si="11"/>
        <v>16</v>
      </c>
      <c r="G41" s="31">
        <f t="shared" si="11"/>
        <v>25</v>
      </c>
      <c r="H41" s="31">
        <f t="shared" si="11"/>
        <v>9</v>
      </c>
      <c r="I41" s="31">
        <f t="shared" si="11"/>
        <v>16</v>
      </c>
      <c r="J41" s="31">
        <f t="shared" si="11"/>
        <v>25</v>
      </c>
      <c r="K41" s="31">
        <f t="shared" si="11"/>
        <v>9</v>
      </c>
      <c r="L41" s="31">
        <f t="shared" si="11"/>
        <v>9</v>
      </c>
      <c r="M41" s="31">
        <f t="shared" si="11"/>
        <v>4</v>
      </c>
      <c r="N41" s="31">
        <f t="shared" si="11"/>
        <v>4</v>
      </c>
      <c r="O41" s="31">
        <f t="shared" si="11"/>
        <v>0</v>
      </c>
      <c r="P41" s="31">
        <f t="shared" si="11"/>
        <v>0</v>
      </c>
      <c r="Q41" s="31">
        <f>Q14*Q14</f>
        <v>0</v>
      </c>
      <c r="R41" s="31">
        <f t="shared" si="11"/>
        <v>0</v>
      </c>
      <c r="S41" s="31">
        <f t="shared" si="11"/>
        <v>0</v>
      </c>
      <c r="T41" s="31">
        <f t="shared" si="11"/>
        <v>0</v>
      </c>
      <c r="U41" s="31">
        <f t="shared" si="11"/>
        <v>0</v>
      </c>
      <c r="V41">
        <f>SUM(B41:U41)</f>
        <v>190</v>
      </c>
      <c r="W41">
        <f t="shared" si="6"/>
        <v>2304</v>
      </c>
      <c r="X41">
        <f>L4*(L4-1)</f>
        <v>156</v>
      </c>
      <c r="Y41">
        <f>L4*V41-W41</f>
        <v>166</v>
      </c>
      <c r="Z41">
        <f t="shared" si="7"/>
        <v>1.0641025641025641</v>
      </c>
      <c r="AA41">
        <f>SQRT(Z41)</f>
        <v>1.031553471276484</v>
      </c>
      <c r="AB41">
        <f>AA41/4*100</f>
        <v>25.788836781912099</v>
      </c>
    </row>
    <row r="42" spans="1:28" x14ac:dyDescent="0.2">
      <c r="A42" s="28">
        <v>4</v>
      </c>
      <c r="B42" s="31">
        <f t="shared" ref="B42:U42" si="12">B15*B15</f>
        <v>25</v>
      </c>
      <c r="C42" s="31">
        <f t="shared" si="12"/>
        <v>16</v>
      </c>
      <c r="D42" s="31">
        <f t="shared" si="12"/>
        <v>16</v>
      </c>
      <c r="E42" s="31">
        <f t="shared" si="12"/>
        <v>16</v>
      </c>
      <c r="F42" s="31">
        <f t="shared" si="12"/>
        <v>16</v>
      </c>
      <c r="G42" s="31">
        <f t="shared" si="12"/>
        <v>16</v>
      </c>
      <c r="H42" s="31">
        <f t="shared" si="12"/>
        <v>9</v>
      </c>
      <c r="I42" s="31">
        <f t="shared" si="12"/>
        <v>16</v>
      </c>
      <c r="J42" s="31">
        <f t="shared" si="12"/>
        <v>25</v>
      </c>
      <c r="K42" s="31">
        <f t="shared" si="12"/>
        <v>16</v>
      </c>
      <c r="L42" s="31">
        <f t="shared" si="12"/>
        <v>16</v>
      </c>
      <c r="M42" s="31">
        <f t="shared" si="12"/>
        <v>16</v>
      </c>
      <c r="N42" s="31">
        <f t="shared" si="12"/>
        <v>9</v>
      </c>
      <c r="O42" s="31">
        <f t="shared" si="12"/>
        <v>0</v>
      </c>
      <c r="P42" s="31">
        <f t="shared" si="12"/>
        <v>0</v>
      </c>
      <c r="Q42" s="31">
        <f t="shared" si="12"/>
        <v>0</v>
      </c>
      <c r="R42" s="31">
        <f t="shared" si="12"/>
        <v>0</v>
      </c>
      <c r="S42" s="31">
        <f t="shared" si="12"/>
        <v>0</v>
      </c>
      <c r="T42" s="31">
        <f t="shared" si="12"/>
        <v>0</v>
      </c>
      <c r="U42" s="31">
        <f t="shared" si="12"/>
        <v>0</v>
      </c>
      <c r="V42">
        <f t="shared" si="5"/>
        <v>212</v>
      </c>
      <c r="W42">
        <f t="shared" si="6"/>
        <v>2704</v>
      </c>
      <c r="X42">
        <f>L4*(L4-1)</f>
        <v>156</v>
      </c>
      <c r="Y42">
        <f>L4*V42-W42</f>
        <v>52</v>
      </c>
      <c r="Z42">
        <f t="shared" si="7"/>
        <v>0.33333333333333331</v>
      </c>
      <c r="AA42">
        <f t="shared" si="8"/>
        <v>0.57735026918962573</v>
      </c>
      <c r="AB42">
        <f t="shared" si="9"/>
        <v>14.433756729740644</v>
      </c>
    </row>
    <row r="43" spans="1:28" x14ac:dyDescent="0.2">
      <c r="A43" s="28">
        <v>5</v>
      </c>
      <c r="B43" s="31">
        <f t="shared" ref="B43:U43" si="13">B16*B16</f>
        <v>25</v>
      </c>
      <c r="C43" s="31">
        <f t="shared" si="13"/>
        <v>16</v>
      </c>
      <c r="D43" s="31">
        <f t="shared" si="13"/>
        <v>16</v>
      </c>
      <c r="E43" s="31">
        <f t="shared" si="13"/>
        <v>16</v>
      </c>
      <c r="F43" s="31">
        <f t="shared" si="13"/>
        <v>16</v>
      </c>
      <c r="G43" s="31">
        <f t="shared" si="13"/>
        <v>16</v>
      </c>
      <c r="H43" s="31">
        <f t="shared" si="13"/>
        <v>9</v>
      </c>
      <c r="I43" s="31">
        <f t="shared" si="13"/>
        <v>4</v>
      </c>
      <c r="J43" s="31">
        <f t="shared" si="13"/>
        <v>25</v>
      </c>
      <c r="K43" s="31">
        <f t="shared" si="13"/>
        <v>16</v>
      </c>
      <c r="L43" s="31">
        <f t="shared" si="13"/>
        <v>4</v>
      </c>
      <c r="M43" s="31">
        <f t="shared" si="13"/>
        <v>16</v>
      </c>
      <c r="N43" s="31">
        <f t="shared" si="13"/>
        <v>16</v>
      </c>
      <c r="O43" s="31">
        <f t="shared" si="13"/>
        <v>0</v>
      </c>
      <c r="P43" s="31">
        <f t="shared" si="13"/>
        <v>0</v>
      </c>
      <c r="Q43" s="31">
        <f t="shared" si="13"/>
        <v>0</v>
      </c>
      <c r="R43" s="31">
        <f t="shared" si="13"/>
        <v>0</v>
      </c>
      <c r="S43" s="31">
        <f t="shared" si="13"/>
        <v>0</v>
      </c>
      <c r="T43" s="31">
        <f t="shared" si="13"/>
        <v>0</v>
      </c>
      <c r="U43" s="31">
        <f t="shared" si="13"/>
        <v>0</v>
      </c>
      <c r="V43">
        <f t="shared" si="5"/>
        <v>195</v>
      </c>
      <c r="W43">
        <f t="shared" si="6"/>
        <v>2401</v>
      </c>
      <c r="X43">
        <f>L4*(L4-1)</f>
        <v>156</v>
      </c>
      <c r="Y43">
        <f>L4*V43-W43</f>
        <v>134</v>
      </c>
      <c r="Z43">
        <f t="shared" si="7"/>
        <v>0.85897435897435892</v>
      </c>
      <c r="AA43">
        <f t="shared" si="8"/>
        <v>0.92680869599629834</v>
      </c>
      <c r="AB43">
        <f t="shared" si="9"/>
        <v>23.170217399907457</v>
      </c>
    </row>
    <row r="44" spans="1:28" x14ac:dyDescent="0.2">
      <c r="A44" s="28">
        <v>6</v>
      </c>
      <c r="B44" s="31">
        <f t="shared" ref="B44:U44" si="14">B17*B17</f>
        <v>25</v>
      </c>
      <c r="C44" s="31">
        <f t="shared" si="14"/>
        <v>16</v>
      </c>
      <c r="D44" s="31">
        <f t="shared" si="14"/>
        <v>16</v>
      </c>
      <c r="E44" s="31">
        <f t="shared" si="14"/>
        <v>16</v>
      </c>
      <c r="F44" s="31">
        <f t="shared" si="14"/>
        <v>25</v>
      </c>
      <c r="G44" s="31">
        <f t="shared" si="14"/>
        <v>16</v>
      </c>
      <c r="H44" s="31">
        <f t="shared" si="14"/>
        <v>16</v>
      </c>
      <c r="I44" s="31">
        <f t="shared" si="14"/>
        <v>16</v>
      </c>
      <c r="J44" s="31">
        <f t="shared" si="14"/>
        <v>16</v>
      </c>
      <c r="K44" s="31">
        <f t="shared" si="14"/>
        <v>16</v>
      </c>
      <c r="L44" s="31">
        <f t="shared" si="14"/>
        <v>4</v>
      </c>
      <c r="M44" s="31">
        <f t="shared" si="14"/>
        <v>4</v>
      </c>
      <c r="N44" s="31">
        <f t="shared" si="14"/>
        <v>4</v>
      </c>
      <c r="O44" s="31">
        <f t="shared" si="14"/>
        <v>0</v>
      </c>
      <c r="P44" s="31">
        <f t="shared" si="14"/>
        <v>0</v>
      </c>
      <c r="Q44" s="31">
        <f t="shared" si="14"/>
        <v>0</v>
      </c>
      <c r="R44" s="31">
        <f t="shared" si="14"/>
        <v>0</v>
      </c>
      <c r="S44" s="31">
        <f t="shared" si="14"/>
        <v>0</v>
      </c>
      <c r="T44" s="31">
        <f t="shared" si="14"/>
        <v>0</v>
      </c>
      <c r="U44" s="31">
        <f t="shared" si="14"/>
        <v>0</v>
      </c>
      <c r="V44">
        <f t="shared" si="5"/>
        <v>190</v>
      </c>
      <c r="W44">
        <f t="shared" si="6"/>
        <v>2304</v>
      </c>
      <c r="X44">
        <f>L4*(L4-1)</f>
        <v>156</v>
      </c>
      <c r="Y44">
        <f>L4*V44-W44</f>
        <v>166</v>
      </c>
      <c r="Z44">
        <f t="shared" si="7"/>
        <v>1.0641025641025641</v>
      </c>
      <c r="AA44">
        <f t="shared" si="8"/>
        <v>1.031553471276484</v>
      </c>
      <c r="AB44">
        <f t="shared" si="9"/>
        <v>25.788836781912099</v>
      </c>
    </row>
    <row r="45" spans="1:28" x14ac:dyDescent="0.2">
      <c r="A45" s="28">
        <v>7</v>
      </c>
      <c r="B45" s="31">
        <f t="shared" ref="B45:U45" si="15">B18*B18</f>
        <v>25</v>
      </c>
      <c r="C45" s="31">
        <f t="shared" si="15"/>
        <v>16</v>
      </c>
      <c r="D45" s="31">
        <f t="shared" si="15"/>
        <v>16</v>
      </c>
      <c r="E45" s="31">
        <f t="shared" si="15"/>
        <v>16</v>
      </c>
      <c r="F45" s="31">
        <f t="shared" si="15"/>
        <v>16</v>
      </c>
      <c r="G45" s="31">
        <f t="shared" si="15"/>
        <v>16</v>
      </c>
      <c r="H45" s="31">
        <f t="shared" si="15"/>
        <v>25</v>
      </c>
      <c r="I45" s="31">
        <f t="shared" si="15"/>
        <v>16</v>
      </c>
      <c r="J45" s="31">
        <f t="shared" si="15"/>
        <v>25</v>
      </c>
      <c r="K45" s="31">
        <f t="shared" si="15"/>
        <v>9</v>
      </c>
      <c r="L45" s="31">
        <f t="shared" si="15"/>
        <v>4</v>
      </c>
      <c r="M45" s="31">
        <f t="shared" si="15"/>
        <v>16</v>
      </c>
      <c r="N45" s="31">
        <f t="shared" si="15"/>
        <v>16</v>
      </c>
      <c r="O45" s="31">
        <f t="shared" si="15"/>
        <v>0</v>
      </c>
      <c r="P45" s="31">
        <f t="shared" si="15"/>
        <v>0</v>
      </c>
      <c r="Q45" s="31">
        <f t="shared" si="15"/>
        <v>0</v>
      </c>
      <c r="R45" s="31">
        <f t="shared" si="15"/>
        <v>0</v>
      </c>
      <c r="S45" s="31">
        <f t="shared" si="15"/>
        <v>0</v>
      </c>
      <c r="T45" s="31">
        <f t="shared" si="15"/>
        <v>0</v>
      </c>
      <c r="U45" s="31">
        <f t="shared" si="15"/>
        <v>0</v>
      </c>
      <c r="V45">
        <f t="shared" si="5"/>
        <v>216</v>
      </c>
      <c r="W45">
        <f t="shared" si="6"/>
        <v>2704</v>
      </c>
      <c r="X45">
        <f>L4*(L4-1)</f>
        <v>156</v>
      </c>
      <c r="Y45">
        <f>L4*V45-W45</f>
        <v>104</v>
      </c>
      <c r="Z45">
        <f t="shared" si="7"/>
        <v>0.66666666666666663</v>
      </c>
      <c r="AA45">
        <f t="shared" si="8"/>
        <v>0.81649658092772603</v>
      </c>
      <c r="AB45">
        <f t="shared" si="9"/>
        <v>20.412414523193149</v>
      </c>
    </row>
    <row r="46" spans="1:28" x14ac:dyDescent="0.2">
      <c r="A46" s="28">
        <v>8</v>
      </c>
      <c r="B46" s="31">
        <f t="shared" ref="B46:U46" si="16">B19*B19</f>
        <v>16</v>
      </c>
      <c r="C46" s="31">
        <f t="shared" si="16"/>
        <v>16</v>
      </c>
      <c r="D46" s="31">
        <f t="shared" si="16"/>
        <v>16</v>
      </c>
      <c r="E46" s="31">
        <f t="shared" si="16"/>
        <v>16</v>
      </c>
      <c r="F46" s="31">
        <f t="shared" si="16"/>
        <v>16</v>
      </c>
      <c r="G46" s="31">
        <f t="shared" si="16"/>
        <v>9</v>
      </c>
      <c r="H46" s="31">
        <f t="shared" si="16"/>
        <v>9</v>
      </c>
      <c r="I46" s="31">
        <f t="shared" si="16"/>
        <v>16</v>
      </c>
      <c r="J46" s="31">
        <f t="shared" si="16"/>
        <v>9</v>
      </c>
      <c r="K46" s="31">
        <f t="shared" si="16"/>
        <v>9</v>
      </c>
      <c r="L46" s="31">
        <f t="shared" si="16"/>
        <v>16</v>
      </c>
      <c r="M46" s="31">
        <f t="shared" si="16"/>
        <v>4</v>
      </c>
      <c r="N46" s="31">
        <f t="shared" si="16"/>
        <v>16</v>
      </c>
      <c r="O46" s="31">
        <f t="shared" si="16"/>
        <v>0</v>
      </c>
      <c r="P46" s="31">
        <f t="shared" si="16"/>
        <v>0</v>
      </c>
      <c r="Q46" s="31">
        <f t="shared" si="16"/>
        <v>0</v>
      </c>
      <c r="R46" s="31">
        <f t="shared" si="16"/>
        <v>0</v>
      </c>
      <c r="S46" s="31">
        <f t="shared" si="16"/>
        <v>0</v>
      </c>
      <c r="T46" s="31">
        <f t="shared" si="16"/>
        <v>0</v>
      </c>
      <c r="U46" s="31">
        <f t="shared" si="16"/>
        <v>0</v>
      </c>
      <c r="V46">
        <f t="shared" si="5"/>
        <v>168</v>
      </c>
      <c r="W46">
        <f t="shared" si="6"/>
        <v>2116</v>
      </c>
      <c r="X46">
        <f>L4*(L4-1)</f>
        <v>156</v>
      </c>
      <c r="Y46">
        <f>L4*V46-W46</f>
        <v>68</v>
      </c>
      <c r="Z46">
        <f t="shared" si="7"/>
        <v>0.4358974358974359</v>
      </c>
      <c r="AA46">
        <f t="shared" si="8"/>
        <v>0.66022529177352474</v>
      </c>
      <c r="AB46">
        <f t="shared" si="9"/>
        <v>16.505632294338117</v>
      </c>
    </row>
    <row r="47" spans="1:28" x14ac:dyDescent="0.2">
      <c r="A47" s="28">
        <v>9</v>
      </c>
      <c r="B47" s="31">
        <f t="shared" ref="B47:U47" si="17">B20*B20</f>
        <v>25</v>
      </c>
      <c r="C47" s="31">
        <f t="shared" si="17"/>
        <v>9</v>
      </c>
      <c r="D47" s="31">
        <f t="shared" si="17"/>
        <v>9</v>
      </c>
      <c r="E47" s="31">
        <f t="shared" si="17"/>
        <v>16</v>
      </c>
      <c r="F47" s="31">
        <f t="shared" si="17"/>
        <v>16</v>
      </c>
      <c r="G47" s="31">
        <f t="shared" si="17"/>
        <v>16</v>
      </c>
      <c r="H47" s="31">
        <f t="shared" si="17"/>
        <v>16</v>
      </c>
      <c r="I47" s="31">
        <f t="shared" si="17"/>
        <v>16</v>
      </c>
      <c r="J47" s="31">
        <f t="shared" si="17"/>
        <v>25</v>
      </c>
      <c r="K47" s="31">
        <f t="shared" si="17"/>
        <v>9</v>
      </c>
      <c r="L47" s="31">
        <f t="shared" si="17"/>
        <v>16</v>
      </c>
      <c r="M47" s="31">
        <f t="shared" si="17"/>
        <v>16</v>
      </c>
      <c r="N47" s="31">
        <f t="shared" si="17"/>
        <v>16</v>
      </c>
      <c r="O47" s="31">
        <f t="shared" si="17"/>
        <v>0</v>
      </c>
      <c r="P47" s="31">
        <f t="shared" si="17"/>
        <v>0</v>
      </c>
      <c r="Q47" s="31">
        <f t="shared" si="17"/>
        <v>0</v>
      </c>
      <c r="R47" s="31">
        <f t="shared" si="17"/>
        <v>0</v>
      </c>
      <c r="S47" s="31">
        <f t="shared" si="17"/>
        <v>0</v>
      </c>
      <c r="T47" s="31">
        <f t="shared" si="17"/>
        <v>0</v>
      </c>
      <c r="U47" s="31">
        <f t="shared" si="17"/>
        <v>0</v>
      </c>
      <c r="V47">
        <f t="shared" si="5"/>
        <v>205</v>
      </c>
      <c r="W47">
        <f t="shared" si="6"/>
        <v>2601</v>
      </c>
      <c r="X47">
        <f>L4*(L4-1)</f>
        <v>156</v>
      </c>
      <c r="Y47">
        <f>L4*V47-W47</f>
        <v>64</v>
      </c>
      <c r="Z47">
        <f t="shared" si="7"/>
        <v>0.41025641025641024</v>
      </c>
      <c r="AA47">
        <f t="shared" si="8"/>
        <v>0.64051261522034852</v>
      </c>
      <c r="AB47">
        <f t="shared" si="9"/>
        <v>16.012815380508712</v>
      </c>
    </row>
    <row r="48" spans="1:28" x14ac:dyDescent="0.2">
      <c r="A48" s="28">
        <v>10</v>
      </c>
      <c r="B48" s="31">
        <f t="shared" ref="B48:U48" si="18">B21*B21</f>
        <v>25</v>
      </c>
      <c r="C48" s="31">
        <f t="shared" si="18"/>
        <v>16</v>
      </c>
      <c r="D48" s="31">
        <f t="shared" si="18"/>
        <v>16</v>
      </c>
      <c r="E48" s="31">
        <f t="shared" si="18"/>
        <v>25</v>
      </c>
      <c r="F48" s="31">
        <f t="shared" si="18"/>
        <v>9</v>
      </c>
      <c r="G48" s="31">
        <f t="shared" si="18"/>
        <v>16</v>
      </c>
      <c r="H48" s="31">
        <f t="shared" si="18"/>
        <v>16</v>
      </c>
      <c r="I48" s="31">
        <f t="shared" si="18"/>
        <v>25</v>
      </c>
      <c r="J48" s="31">
        <f t="shared" si="18"/>
        <v>4</v>
      </c>
      <c r="K48" s="31">
        <f t="shared" si="18"/>
        <v>16</v>
      </c>
      <c r="L48" s="31">
        <f t="shared" si="18"/>
        <v>4</v>
      </c>
      <c r="M48" s="31">
        <f t="shared" si="18"/>
        <v>9</v>
      </c>
      <c r="N48" s="31">
        <f t="shared" si="18"/>
        <v>9</v>
      </c>
      <c r="O48" s="31">
        <f t="shared" si="18"/>
        <v>0</v>
      </c>
      <c r="P48" s="31">
        <f t="shared" si="18"/>
        <v>0</v>
      </c>
      <c r="Q48" s="31">
        <f t="shared" si="18"/>
        <v>0</v>
      </c>
      <c r="R48" s="31">
        <f t="shared" si="18"/>
        <v>0</v>
      </c>
      <c r="S48" s="31">
        <f t="shared" si="18"/>
        <v>0</v>
      </c>
      <c r="T48" s="31">
        <f t="shared" si="18"/>
        <v>0</v>
      </c>
      <c r="U48" s="31">
        <f t="shared" si="18"/>
        <v>0</v>
      </c>
      <c r="V48">
        <f t="shared" si="5"/>
        <v>190</v>
      </c>
      <c r="W48">
        <f t="shared" si="6"/>
        <v>2304</v>
      </c>
      <c r="X48">
        <f>L4*(L4-1)</f>
        <v>156</v>
      </c>
      <c r="Y48">
        <f>L4*V48-W48</f>
        <v>166</v>
      </c>
      <c r="Z48">
        <f t="shared" si="7"/>
        <v>1.0641025641025641</v>
      </c>
      <c r="AA48">
        <f t="shared" si="8"/>
        <v>1.031553471276484</v>
      </c>
      <c r="AB48">
        <f t="shared" si="9"/>
        <v>25.788836781912099</v>
      </c>
    </row>
    <row r="49" spans="1:28" x14ac:dyDescent="0.2">
      <c r="A49" s="28">
        <v>11</v>
      </c>
      <c r="B49" s="31">
        <f t="shared" ref="B49:U49" si="19">B22*B22</f>
        <v>25</v>
      </c>
      <c r="C49" s="31">
        <f t="shared" si="19"/>
        <v>16</v>
      </c>
      <c r="D49" s="31">
        <f t="shared" si="19"/>
        <v>16</v>
      </c>
      <c r="E49" s="31">
        <f t="shared" si="19"/>
        <v>9</v>
      </c>
      <c r="F49" s="31">
        <f t="shared" si="19"/>
        <v>16</v>
      </c>
      <c r="G49" s="31">
        <f t="shared" si="19"/>
        <v>4</v>
      </c>
      <c r="H49" s="31">
        <f t="shared" si="19"/>
        <v>16</v>
      </c>
      <c r="I49" s="31">
        <f t="shared" si="19"/>
        <v>25</v>
      </c>
      <c r="J49" s="31">
        <f t="shared" si="19"/>
        <v>4</v>
      </c>
      <c r="K49" s="31">
        <f t="shared" si="19"/>
        <v>16</v>
      </c>
      <c r="L49" s="31">
        <f t="shared" si="19"/>
        <v>9</v>
      </c>
      <c r="M49" s="31">
        <f t="shared" si="19"/>
        <v>25</v>
      </c>
      <c r="N49" s="31">
        <f t="shared" si="19"/>
        <v>4</v>
      </c>
      <c r="O49" s="31">
        <f t="shared" si="19"/>
        <v>0</v>
      </c>
      <c r="P49" s="31">
        <f t="shared" si="19"/>
        <v>0</v>
      </c>
      <c r="Q49" s="31">
        <f t="shared" si="19"/>
        <v>0</v>
      </c>
      <c r="R49" s="31">
        <f t="shared" si="19"/>
        <v>0</v>
      </c>
      <c r="S49" s="31">
        <f t="shared" si="19"/>
        <v>0</v>
      </c>
      <c r="T49" s="31">
        <f t="shared" si="19"/>
        <v>0</v>
      </c>
      <c r="U49" s="31">
        <f t="shared" si="19"/>
        <v>0</v>
      </c>
      <c r="V49">
        <f t="shared" si="5"/>
        <v>185</v>
      </c>
      <c r="W49">
        <f t="shared" si="6"/>
        <v>2209</v>
      </c>
      <c r="X49">
        <f>L4*(L4-1)</f>
        <v>156</v>
      </c>
      <c r="Y49">
        <f>L4*V49-W49</f>
        <v>196</v>
      </c>
      <c r="Z49">
        <f t="shared" si="7"/>
        <v>1.2564102564102564</v>
      </c>
      <c r="AA49">
        <f t="shared" si="8"/>
        <v>1.1208970766356099</v>
      </c>
      <c r="AB49">
        <f t="shared" si="9"/>
        <v>28.022426915890247</v>
      </c>
    </row>
    <row r="50" spans="1:28" x14ac:dyDescent="0.2">
      <c r="A50" s="28">
        <v>12</v>
      </c>
      <c r="B50" s="31">
        <f t="shared" ref="B50:U50" si="20">B23*B23</f>
        <v>25</v>
      </c>
      <c r="C50" s="31">
        <f t="shared" si="20"/>
        <v>25</v>
      </c>
      <c r="D50" s="31">
        <f t="shared" si="20"/>
        <v>25</v>
      </c>
      <c r="E50" s="31">
        <f t="shared" si="20"/>
        <v>9</v>
      </c>
      <c r="F50" s="31">
        <f t="shared" si="20"/>
        <v>16</v>
      </c>
      <c r="G50" s="31">
        <f t="shared" si="20"/>
        <v>4</v>
      </c>
      <c r="H50" s="31">
        <f t="shared" si="20"/>
        <v>16</v>
      </c>
      <c r="I50" s="31">
        <f t="shared" si="20"/>
        <v>16</v>
      </c>
      <c r="J50" s="31">
        <f t="shared" si="20"/>
        <v>16</v>
      </c>
      <c r="K50" s="31">
        <f t="shared" si="20"/>
        <v>16</v>
      </c>
      <c r="L50" s="31">
        <f t="shared" si="20"/>
        <v>16</v>
      </c>
      <c r="M50" s="31">
        <f t="shared" si="20"/>
        <v>9</v>
      </c>
      <c r="N50" s="31">
        <f t="shared" si="20"/>
        <v>16</v>
      </c>
      <c r="O50" s="31">
        <f t="shared" si="20"/>
        <v>0</v>
      </c>
      <c r="P50" s="31">
        <f t="shared" si="20"/>
        <v>0</v>
      </c>
      <c r="Q50" s="31">
        <f t="shared" si="20"/>
        <v>0</v>
      </c>
      <c r="R50" s="31">
        <f t="shared" si="20"/>
        <v>0</v>
      </c>
      <c r="S50" s="31">
        <f t="shared" si="20"/>
        <v>0</v>
      </c>
      <c r="T50" s="31">
        <f t="shared" si="20"/>
        <v>0</v>
      </c>
      <c r="U50" s="31">
        <f t="shared" si="20"/>
        <v>0</v>
      </c>
      <c r="V50">
        <f t="shared" si="5"/>
        <v>209</v>
      </c>
      <c r="W50">
        <f t="shared" si="6"/>
        <v>2601</v>
      </c>
      <c r="X50">
        <f>L4*(L4-1)</f>
        <v>156</v>
      </c>
      <c r="Y50">
        <f>L4*V50-W50</f>
        <v>116</v>
      </c>
      <c r="Z50">
        <f t="shared" si="7"/>
        <v>0.74358974358974361</v>
      </c>
      <c r="AA50">
        <f t="shared" si="8"/>
        <v>0.8623164985025763</v>
      </c>
      <c r="AB50">
        <f t="shared" si="9"/>
        <v>21.557912462564406</v>
      </c>
    </row>
    <row r="51" spans="1:28" x14ac:dyDescent="0.2">
      <c r="A51" s="28">
        <v>13</v>
      </c>
      <c r="B51" s="31">
        <f t="shared" ref="B51:U51" si="21">B24*B24</f>
        <v>16</v>
      </c>
      <c r="C51" s="31">
        <f t="shared" si="21"/>
        <v>16</v>
      </c>
      <c r="D51" s="31">
        <f t="shared" si="21"/>
        <v>16</v>
      </c>
      <c r="E51" s="31">
        <f t="shared" si="21"/>
        <v>16</v>
      </c>
      <c r="F51" s="31">
        <f t="shared" si="21"/>
        <v>16</v>
      </c>
      <c r="G51" s="31">
        <f t="shared" si="21"/>
        <v>4</v>
      </c>
      <c r="H51" s="31">
        <f t="shared" si="21"/>
        <v>9</v>
      </c>
      <c r="I51" s="31">
        <f t="shared" si="21"/>
        <v>16</v>
      </c>
      <c r="J51" s="31">
        <f t="shared" si="21"/>
        <v>16</v>
      </c>
      <c r="K51" s="31">
        <f t="shared" si="21"/>
        <v>9</v>
      </c>
      <c r="L51" s="31">
        <f t="shared" si="21"/>
        <v>16</v>
      </c>
      <c r="M51" s="31">
        <f t="shared" si="21"/>
        <v>4</v>
      </c>
      <c r="N51" s="31">
        <f t="shared" si="21"/>
        <v>16</v>
      </c>
      <c r="O51" s="31">
        <f t="shared" si="21"/>
        <v>0</v>
      </c>
      <c r="P51" s="31">
        <f t="shared" si="21"/>
        <v>0</v>
      </c>
      <c r="Q51" s="31">
        <f t="shared" si="21"/>
        <v>0</v>
      </c>
      <c r="R51" s="31">
        <f t="shared" si="21"/>
        <v>0</v>
      </c>
      <c r="S51" s="31">
        <f t="shared" si="21"/>
        <v>0</v>
      </c>
      <c r="T51" s="31">
        <f t="shared" si="21"/>
        <v>0</v>
      </c>
      <c r="U51" s="31">
        <f t="shared" si="21"/>
        <v>0</v>
      </c>
      <c r="V51">
        <f t="shared" si="5"/>
        <v>170</v>
      </c>
      <c r="W51">
        <f t="shared" si="6"/>
        <v>2116</v>
      </c>
      <c r="X51">
        <f>L4*(L4-1)</f>
        <v>156</v>
      </c>
      <c r="Y51">
        <f>L4*V51-W51</f>
        <v>94</v>
      </c>
      <c r="Z51">
        <f t="shared" si="7"/>
        <v>0.60256410256410253</v>
      </c>
      <c r="AA51">
        <f t="shared" si="8"/>
        <v>0.77625002580618474</v>
      </c>
      <c r="AB51">
        <f t="shared" si="9"/>
        <v>19.406250645154618</v>
      </c>
    </row>
    <row r="52" spans="1:28" x14ac:dyDescent="0.2">
      <c r="A52" s="28">
        <v>14</v>
      </c>
      <c r="B52" s="31">
        <f t="shared" ref="B52:U52" si="22">B25*B25</f>
        <v>16</v>
      </c>
      <c r="C52" s="31">
        <f t="shared" si="22"/>
        <v>16</v>
      </c>
      <c r="D52" s="31">
        <f t="shared" si="22"/>
        <v>16</v>
      </c>
      <c r="E52" s="31">
        <f t="shared" si="22"/>
        <v>16</v>
      </c>
      <c r="F52" s="31">
        <f t="shared" si="22"/>
        <v>16</v>
      </c>
      <c r="G52" s="31">
        <f t="shared" si="22"/>
        <v>16</v>
      </c>
      <c r="H52" s="31">
        <f t="shared" si="22"/>
        <v>9</v>
      </c>
      <c r="I52" s="31">
        <f t="shared" si="22"/>
        <v>16</v>
      </c>
      <c r="J52" s="31">
        <f t="shared" si="22"/>
        <v>25</v>
      </c>
      <c r="K52" s="31">
        <f t="shared" si="22"/>
        <v>9</v>
      </c>
      <c r="L52" s="31">
        <f t="shared" si="22"/>
        <v>16</v>
      </c>
      <c r="M52" s="31">
        <f t="shared" si="22"/>
        <v>9</v>
      </c>
      <c r="N52" s="31">
        <f t="shared" si="22"/>
        <v>16</v>
      </c>
      <c r="O52" s="31">
        <f t="shared" si="22"/>
        <v>0</v>
      </c>
      <c r="P52" s="31">
        <f t="shared" si="22"/>
        <v>0</v>
      </c>
      <c r="Q52" s="31">
        <f t="shared" si="22"/>
        <v>0</v>
      </c>
      <c r="R52" s="31">
        <f t="shared" si="22"/>
        <v>0</v>
      </c>
      <c r="S52" s="31">
        <f t="shared" si="22"/>
        <v>0</v>
      </c>
      <c r="T52" s="31">
        <f t="shared" si="22"/>
        <v>0</v>
      </c>
      <c r="U52" s="31">
        <f t="shared" si="22"/>
        <v>0</v>
      </c>
      <c r="V52">
        <f t="shared" si="5"/>
        <v>196</v>
      </c>
      <c r="W52">
        <f t="shared" si="6"/>
        <v>2500</v>
      </c>
      <c r="X52">
        <f>L4*(L4-1)</f>
        <v>156</v>
      </c>
      <c r="Y52">
        <f>L4*V52-W52</f>
        <v>48</v>
      </c>
      <c r="Z52">
        <f t="shared" si="7"/>
        <v>0.30769230769230771</v>
      </c>
      <c r="AA52">
        <f t="shared" si="8"/>
        <v>0.55470019622522915</v>
      </c>
      <c r="AB52">
        <f t="shared" si="9"/>
        <v>13.867504905630728</v>
      </c>
    </row>
    <row r="53" spans="1:28" x14ac:dyDescent="0.2">
      <c r="A53" s="28">
        <v>15</v>
      </c>
      <c r="B53" s="31">
        <f t="shared" ref="B53:U53" si="23">B26*B26</f>
        <v>25</v>
      </c>
      <c r="C53" s="31">
        <f t="shared" si="23"/>
        <v>16</v>
      </c>
      <c r="D53" s="31">
        <f t="shared" si="23"/>
        <v>16</v>
      </c>
      <c r="E53" s="31">
        <f t="shared" si="23"/>
        <v>9</v>
      </c>
      <c r="F53" s="31">
        <f t="shared" si="23"/>
        <v>16</v>
      </c>
      <c r="G53" s="31">
        <f t="shared" si="23"/>
        <v>16</v>
      </c>
      <c r="H53" s="31">
        <f t="shared" si="23"/>
        <v>16</v>
      </c>
      <c r="I53" s="31">
        <f t="shared" si="23"/>
        <v>16</v>
      </c>
      <c r="J53" s="31">
        <f t="shared" si="23"/>
        <v>16</v>
      </c>
      <c r="K53" s="31">
        <f t="shared" si="23"/>
        <v>9</v>
      </c>
      <c r="L53" s="31">
        <f t="shared" si="23"/>
        <v>4</v>
      </c>
      <c r="M53" s="31">
        <f t="shared" si="23"/>
        <v>4</v>
      </c>
      <c r="N53" s="31">
        <f t="shared" si="23"/>
        <v>4</v>
      </c>
      <c r="O53" s="31">
        <f t="shared" si="23"/>
        <v>0</v>
      </c>
      <c r="P53" s="31">
        <f t="shared" si="23"/>
        <v>0</v>
      </c>
      <c r="Q53" s="31">
        <f t="shared" si="23"/>
        <v>0</v>
      </c>
      <c r="R53" s="31">
        <f t="shared" si="23"/>
        <v>0</v>
      </c>
      <c r="S53" s="31">
        <f t="shared" si="23"/>
        <v>0</v>
      </c>
      <c r="T53" s="31">
        <f t="shared" si="23"/>
        <v>0</v>
      </c>
      <c r="U53" s="31">
        <f t="shared" si="23"/>
        <v>0</v>
      </c>
      <c r="V53">
        <f t="shared" si="5"/>
        <v>167</v>
      </c>
      <c r="W53">
        <f t="shared" si="6"/>
        <v>2025</v>
      </c>
      <c r="X53">
        <f>L4*(L4-1)</f>
        <v>156</v>
      </c>
      <c r="Y53">
        <f>L4*V53-W53</f>
        <v>146</v>
      </c>
      <c r="Z53">
        <f t="shared" si="7"/>
        <v>0.9358974358974359</v>
      </c>
      <c r="AA53">
        <f t="shared" si="8"/>
        <v>0.96741792204684518</v>
      </c>
      <c r="AB53">
        <f t="shared" si="9"/>
        <v>24.185448051171129</v>
      </c>
    </row>
    <row r="54" spans="1:28" x14ac:dyDescent="0.2">
      <c r="A54" s="28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</sheetData>
  <pageMargins left="0.78740157499999996" right="0.78740157499999996" top="0.984251969" bottom="0.984251969" header="0.5" footer="0.5"/>
  <pageSetup paperSize="9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B10" sqref="B10"/>
    </sheetView>
  </sheetViews>
  <sheetFormatPr baseColWidth="10" defaultRowHeight="12.75" x14ac:dyDescent="0.2"/>
  <cols>
    <col min="1" max="1" width="1.140625" customWidth="1"/>
    <col min="2" max="2" width="10.28515625" customWidth="1"/>
    <col min="3" max="3" width="1.5703125" customWidth="1"/>
    <col min="4" max="4" width="5.5703125" customWidth="1"/>
    <col min="5" max="6" width="16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Graphiques</vt:lpstr>
      </vt:variant>
      <vt:variant>
        <vt:i4>6</vt:i4>
      </vt:variant>
    </vt:vector>
  </HeadingPairs>
  <TitlesOfParts>
    <vt:vector size="16" baseType="lpstr">
      <vt:lpstr>Aperçu</vt:lpstr>
      <vt:lpstr>GRH</vt:lpstr>
      <vt:lpstr>GRF</vt:lpstr>
      <vt:lpstr>PartEq</vt:lpstr>
      <vt:lpstr>Dur</vt:lpstr>
      <vt:lpstr>Partn</vt:lpstr>
      <vt:lpstr>Gouv</vt:lpstr>
      <vt:lpstr>Rapport sur la compatibilité</vt:lpstr>
      <vt:lpstr>Feuil1</vt:lpstr>
      <vt:lpstr>Feuil2</vt:lpstr>
      <vt:lpstr>Grap GRH</vt:lpstr>
      <vt:lpstr>Grap GRF</vt:lpstr>
      <vt:lpstr>Grap PartEq</vt:lpstr>
      <vt:lpstr>Grap Dur</vt:lpstr>
      <vt:lpstr>Grap Partn</vt:lpstr>
      <vt:lpstr>Grap Gouv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PCA Score Calculator empty</dc:title>
  <dc:creator>Jouwert van Geene</dc:creator>
  <cp:lastModifiedBy>Mouhamed BA</cp:lastModifiedBy>
  <cp:lastPrinted>2004-08-12T15:30:57Z</cp:lastPrinted>
  <dcterms:created xsi:type="dcterms:W3CDTF">2002-10-10T05:54:30Z</dcterms:created>
  <dcterms:modified xsi:type="dcterms:W3CDTF">2015-12-27T20:57:17Z</dcterms:modified>
</cp:coreProperties>
</file>